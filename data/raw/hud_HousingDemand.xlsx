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! US HMC\NHMI website\Charting Application Data\2026\052026-May\"/>
    </mc:Choice>
  </mc:AlternateContent>
  <xr:revisionPtr revIDLastSave="0" documentId="13_ncr:1_{D7C076C4-BD18-43E8-BCA9-2CD7A13360F0}" xr6:coauthVersionLast="47" xr6:coauthVersionMax="47" xr10:uidLastSave="{00000000-0000-0000-0000-000000000000}"/>
  <bookViews>
    <workbookView xWindow="28680" yWindow="-120" windowWidth="29040" windowHeight="15720" tabRatio="923" activeTab="2" xr2:uid="{00000000-000D-0000-FFFF-FFFF00000000}"/>
  </bookViews>
  <sheets>
    <sheet name="Descriptions" sheetId="1" r:id="rId1"/>
    <sheet name="Sales_Monthly" sheetId="3" r:id="rId2"/>
    <sheet name="Sales_Annual" sheetId="2" r:id="rId3"/>
    <sheet name="NewPrices_Quarterly" sheetId="10" r:id="rId4"/>
    <sheet name="Prices_Annual" sheetId="9" r:id="rId5"/>
    <sheet name="ExistingPrices_Monthly" sheetId="13" r:id="rId6"/>
    <sheet name="HPI_Quarterly" sheetId="15" r:id="rId7"/>
    <sheet name="HPI_Annual" sheetId="14" r:id="rId8"/>
    <sheet name="HAI_Monthly" sheetId="18" r:id="rId9"/>
    <sheet name="HAI_Annual" sheetId="17" r:id="rId10"/>
    <sheet name="MrktAbs_Quarterly" sheetId="28" r:id="rId11"/>
    <sheet name="MrktAbs_Annual" sheetId="19" r:id="rId12"/>
    <sheet name="Manufactured_Monthly" sheetId="5" r:id="rId13"/>
    <sheet name="Manufactured_Annual" sheetId="4" r:id="rId14"/>
    <sheet name="BldView_Monthly" sheetId="24" r:id="rId15"/>
    <sheet name="BldView_Annual" sheetId="23" r:id="rId16"/>
    <sheet name="SFRENTAL_Annual" sheetId="25" r:id="rId17"/>
    <sheet name="RentalAffordability_Quarterly" sheetId="30" r:id="rId18"/>
    <sheet name="RentalAffordability_Annual" sheetId="27" r:id="rId19"/>
    <sheet name="Sheet1" sheetId="29" r:id="rId20"/>
  </sheets>
  <externalReferences>
    <externalReference r:id="rId21"/>
    <externalReference r:id="rId22"/>
    <externalReference r:id="rId23"/>
  </externalReferences>
  <definedNames>
    <definedName name="_xlnm._FilterDatabase" localSheetId="6" hidden="1">HPI_Quarterly!$M$1:$M$362</definedName>
    <definedName name="AllData">#REF!</definedName>
    <definedName name="Column_offset">[1]Starts_Annual!#REF!</definedName>
    <definedName name="Row_Offset">[1]Starts_Annual!#REF!</definedName>
    <definedName name="Table_07._Existing_Single_Family_Home_Sales__1968_Present">#REF!</definedName>
    <definedName name="Table_08b_Exsisting_Single_Family_Home_Prices">#REF!</definedName>
    <definedName name="Table_11_Hsg_Affordability_Index__1970_Present">'[2]TABLE 11'!$A$1:$H$97</definedName>
    <definedName name="Table_9._Existing_Home_Prices">#REF!</definedName>
    <definedName name="translation_table">[3]Time!$A$8:$B$11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17" l="1"/>
  <c r="A25" i="17" s="1"/>
  <c r="A24" i="17" s="1"/>
  <c r="A23" i="17" s="1"/>
  <c r="A22" i="17" s="1"/>
  <c r="G13" i="17"/>
  <c r="G12" i="17"/>
  <c r="G11" i="17"/>
  <c r="G10" i="17"/>
  <c r="G9" i="17"/>
  <c r="G8" i="17"/>
  <c r="G7" i="17"/>
  <c r="G6" i="17"/>
  <c r="G5" i="17"/>
  <c r="G4" i="17"/>
  <c r="G3" i="17"/>
  <c r="A3" i="17"/>
  <c r="G2" i="17"/>
</calcChain>
</file>

<file path=xl/sharedStrings.xml><?xml version="1.0" encoding="utf-8"?>
<sst xmlns="http://schemas.openxmlformats.org/spreadsheetml/2006/main" count="1012" uniqueCount="441">
  <si>
    <t>Year</t>
  </si>
  <si>
    <t>Plcments_US</t>
  </si>
  <si>
    <t>Plcmnts_R_NE</t>
  </si>
  <si>
    <t>Plcmnts_R_MW</t>
  </si>
  <si>
    <t>Plcmnts_R_S</t>
  </si>
  <si>
    <t>Plcmnts_R_W</t>
  </si>
  <si>
    <t>Month</t>
  </si>
  <si>
    <t>MANUFACTURED HOUSING</t>
  </si>
  <si>
    <t>Average Sales Price for US</t>
  </si>
  <si>
    <t>Monthly (Manufactured_Monthly)</t>
  </si>
  <si>
    <t>Annual (Manufactured_Annual)</t>
  </si>
  <si>
    <t>Price_US</t>
  </si>
  <si>
    <t>Price_NE</t>
  </si>
  <si>
    <t>Price_MW</t>
  </si>
  <si>
    <t>Price_S</t>
  </si>
  <si>
    <t>Price_W</t>
  </si>
  <si>
    <t>Quarter</t>
  </si>
  <si>
    <t>Monthly  (ExistingPrices_Monthly)</t>
  </si>
  <si>
    <t>HPI_US</t>
  </si>
  <si>
    <t>HPI_NE</t>
  </si>
  <si>
    <t>HPI_MA</t>
  </si>
  <si>
    <t>HPI_SA</t>
  </si>
  <si>
    <t>HPI_ESC</t>
  </si>
  <si>
    <t>HPI_WSC</t>
  </si>
  <si>
    <t>HIP_WNC</t>
  </si>
  <si>
    <t>HPI_ENC</t>
  </si>
  <si>
    <t>HPI_MT</t>
  </si>
  <si>
    <t>HPI_PA</t>
  </si>
  <si>
    <t>CSI</t>
  </si>
  <si>
    <t>FHFA Purchase-Only Hous Price Index for US (SAAR)</t>
  </si>
  <si>
    <t>FHFA Purchase-Only Hous Price Index for Northeast(SAAR)</t>
  </si>
  <si>
    <t>FHFA Purchase-Only Hous Price Index for Middle Atlantic (SAAR)</t>
  </si>
  <si>
    <t>FHFA Purchase-Only Hous Price Index for South Atlantic (SAAR)</t>
  </si>
  <si>
    <t>FHFA Purchase-Only Hous Price Index forEast South Central (SAAR)</t>
  </si>
  <si>
    <t>FHFA Purchase-Only Hous Price Index for West South Central (SAAR)</t>
  </si>
  <si>
    <t>FHFA Purchase-Only Hous Price Index for West North Central (SAAR)</t>
  </si>
  <si>
    <t>FHFA Purchase-Only Hous Price Index for East North Central (SAAR)</t>
  </si>
  <si>
    <t>FHFA Purchase-Only Hous Price Index for Mountain (SAAR)</t>
  </si>
  <si>
    <t>FHFA Purchase-Only Hous Price Index for Pacific (SAAR)</t>
  </si>
  <si>
    <t>Case-Shiller House Price Index for US</t>
  </si>
  <si>
    <t>CSI_US</t>
  </si>
  <si>
    <t>Annual (HPI_Annual)</t>
  </si>
  <si>
    <t>HOUSING AFFORDABILITY INDEX</t>
  </si>
  <si>
    <t>Mrate_US</t>
  </si>
  <si>
    <t>MFI_US</t>
  </si>
  <si>
    <t>IQ_US</t>
  </si>
  <si>
    <t>COMP_US</t>
  </si>
  <si>
    <t>FIXED_US</t>
  </si>
  <si>
    <t>ExMedPrice_US</t>
  </si>
  <si>
    <t>Existing Median Home Price in US</t>
  </si>
  <si>
    <t>Mortgage Rate</t>
  </si>
  <si>
    <t>Median Family Income</t>
  </si>
  <si>
    <t>Income to Qualify</t>
  </si>
  <si>
    <t>Composite Affordability Index</t>
  </si>
  <si>
    <t>Fixed Affordability Index</t>
  </si>
  <si>
    <t>Monthly (HAI_Monthly)</t>
  </si>
  <si>
    <t>AvgPrice_US</t>
  </si>
  <si>
    <t>Plcmnts_NE</t>
  </si>
  <si>
    <t>Plcmnts_MW</t>
  </si>
  <si>
    <t>Plcmnts_S</t>
  </si>
  <si>
    <t>Plcmnts_W</t>
  </si>
  <si>
    <t>MARKET ABSORPTION OF NEW MULTIFAMILY UNITS</t>
  </si>
  <si>
    <t>Quarterly (MrktAbs_Quarterly)</t>
  </si>
  <si>
    <t>Annual (MrktAbs_Annual)</t>
  </si>
  <si>
    <t>Median New Home Price in US</t>
  </si>
  <si>
    <t>Median New Home Price in Northeast</t>
  </si>
  <si>
    <t>Median New Home Price in Midwest</t>
  </si>
  <si>
    <t>Median New Home Price in South</t>
  </si>
  <si>
    <t>Median New Home Price in West</t>
  </si>
  <si>
    <t>Median Existing Home Price in US</t>
  </si>
  <si>
    <t>Median Existing Home Price in Northeast</t>
  </si>
  <si>
    <t>Median Existing Home Price in Midwest</t>
  </si>
  <si>
    <t>Median Existing Home Price in South</t>
  </si>
  <si>
    <t>Median Existing Home Price in West</t>
  </si>
  <si>
    <t>NewSold_US</t>
  </si>
  <si>
    <t>NewSold_NE</t>
  </si>
  <si>
    <t>NewSold_NW</t>
  </si>
  <si>
    <t>NewSold_S</t>
  </si>
  <si>
    <t>NewSold_W</t>
  </si>
  <si>
    <t>ExSold_US</t>
  </si>
  <si>
    <t>ExSold_NE</t>
  </si>
  <si>
    <t>ExSold_NW</t>
  </si>
  <si>
    <t>ExSold_S</t>
  </si>
  <si>
    <t>ExSold_W</t>
  </si>
  <si>
    <t>NewPrice_US</t>
  </si>
  <si>
    <t>NewPrice_NE</t>
  </si>
  <si>
    <t>NewPrice_MW</t>
  </si>
  <si>
    <t>NewPrice_S</t>
  </si>
  <si>
    <t>NewPrice_W</t>
  </si>
  <si>
    <t>ExPrice_US</t>
  </si>
  <si>
    <t>ExPrice_NE</t>
  </si>
  <si>
    <t>ExPrice_MW</t>
  </si>
  <si>
    <t>ExPrice_S</t>
  </si>
  <si>
    <t>ExPrice_W</t>
  </si>
  <si>
    <t>New Homes Sold in US (SAAR)</t>
  </si>
  <si>
    <t>New Homes Sold in US</t>
  </si>
  <si>
    <t>New Homes Sold in Northest (SAAR)</t>
  </si>
  <si>
    <t>New Homes Sold in Northest</t>
  </si>
  <si>
    <t>New Homes Sold in Midwest (SAAR)</t>
  </si>
  <si>
    <t>New Homes Sold in Midwest</t>
  </si>
  <si>
    <t>New Homes Sold in South (SAAR)</t>
  </si>
  <si>
    <t>New Homes Sold in South</t>
  </si>
  <si>
    <t>New Homes Sold in West (SAAR)</t>
  </si>
  <si>
    <t>New Homes Sold in West</t>
  </si>
  <si>
    <t>Placements for US</t>
  </si>
  <si>
    <t>Placements for Northeast</t>
  </si>
  <si>
    <t>Placements for Midwest</t>
  </si>
  <si>
    <t>Placements for South</t>
  </si>
  <si>
    <t>Placements for West</t>
  </si>
  <si>
    <t>Existing Homes Sold in US (SAAR)</t>
  </si>
  <si>
    <t>Existing Homes Sold in US</t>
  </si>
  <si>
    <t>Existing Homes Sold in Northest (SAAR)</t>
  </si>
  <si>
    <t>Existing Homes Sold in Northest</t>
  </si>
  <si>
    <t>Existing Homes Sold in Midwest (SAAR)</t>
  </si>
  <si>
    <t>Existing Homes Sold in Midwest</t>
  </si>
  <si>
    <t>Existing Homes Sold in South (SAAR)</t>
  </si>
  <si>
    <t>Existing Homes Sold in South</t>
  </si>
  <si>
    <t>Existing Homes Sold in West (SAAR)</t>
  </si>
  <si>
    <t>Existing Homes Sold in West</t>
  </si>
  <si>
    <t>BVHMI_US</t>
  </si>
  <si>
    <t>BVCA_US</t>
  </si>
  <si>
    <t>BVFE_US</t>
  </si>
  <si>
    <t>BVPBT_US</t>
  </si>
  <si>
    <t>Housing Market Index for US</t>
  </si>
  <si>
    <t>Sales of Single-Family Detached Homes: Current Activity Index</t>
  </si>
  <si>
    <t>Sales of Single-Family Detached Homes: Future Expectations Index</t>
  </si>
  <si>
    <t>Prospective Buyer Traffic Index</t>
  </si>
  <si>
    <t>AptRnt3_US</t>
  </si>
  <si>
    <t>AptCmp_US</t>
  </si>
  <si>
    <t>AptMdRnt_US</t>
  </si>
  <si>
    <t>CndCmp_US</t>
  </si>
  <si>
    <t>CndSld3_US</t>
  </si>
  <si>
    <t>CndMedSlsPrc_US</t>
  </si>
  <si>
    <t>Monthly (BldView_Monthly)</t>
  </si>
  <si>
    <t>Annual (BldView_Annual)</t>
  </si>
  <si>
    <t>Monthly (Sales_Monthly)</t>
  </si>
  <si>
    <t>Annual (Sales_Annual)</t>
  </si>
  <si>
    <t>Quarterly (NewPrices_Quarterly)</t>
  </si>
  <si>
    <t>NEW HOMES PRICES</t>
  </si>
  <si>
    <t>EXISTING HOME PRICES</t>
  </si>
  <si>
    <t>BUILDERS'S VIEW OF HOUSING MARKET ACTIVITY</t>
  </si>
  <si>
    <t>Annual (Prices_Annual)</t>
  </si>
  <si>
    <t>Single Family Rentals</t>
  </si>
  <si>
    <t>SFRENTALS_US</t>
  </si>
  <si>
    <t>Annual (SFRENTAL_ANNUAL)</t>
  </si>
  <si>
    <t>Single family rental homes for US</t>
  </si>
  <si>
    <t>YEAR</t>
  </si>
  <si>
    <t>SF_RENTALS</t>
  </si>
  <si>
    <t>REPEAT SALES INDICIES</t>
  </si>
  <si>
    <t>Unfurnished Rental Apartments - Completed</t>
  </si>
  <si>
    <t>Unfurnished Rental Apartments – Median Asking Rent</t>
  </si>
  <si>
    <t>Condos/Co-ops - Completed</t>
  </si>
  <si>
    <t>Unfurnished Rental Apartments – Percent Absorbed in 3 months</t>
  </si>
  <si>
    <t>Condos/Co-ops – Percent Absorbed in 3 months</t>
  </si>
  <si>
    <t>Condos/Co-ops – Median Asking Price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</si>
  <si>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</si>
  <si>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</si>
  <si>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</si>
  <si>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</si>
  <si>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</si>
  <si>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</si>
  <si>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</si>
  <si>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</si>
  <si>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</si>
  <si>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</si>
  <si>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</si>
  <si>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</si>
  <si>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</si>
  <si>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</si>
  <si>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</si>
  <si>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</si>
  <si>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</si>
  <si>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</si>
  <si>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</si>
  <si>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</si>
  <si>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</si>
  <si>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</si>
  <si>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</si>
  <si>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</si>
  <si>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</si>
  <si>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</si>
  <si>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</si>
  <si>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</si>
  <si>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</si>
  <si>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</si>
  <si>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</si>
  <si>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</si>
  <si>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</si>
  <si>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</si>
  <si>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</si>
  <si>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</si>
  <si>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</si>
  <si>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</si>
  <si>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</si>
  <si>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</si>
  <si>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</si>
  <si>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</si>
  <si>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</si>
  <si>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</si>
  <si>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</si>
  <si>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</si>
  <si>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</si>
  <si>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</si>
  <si>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</si>
  <si>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</si>
  <si>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</si>
  <si>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</si>
  <si>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</si>
  <si>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</si>
  <si>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</si>
  <si>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</si>
  <si>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</si>
  <si>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</si>
  <si>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</si>
  <si>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</si>
  <si>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</si>
  <si>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</si>
  <si>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</si>
  <si>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</si>
  <si>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</si>
  <si>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</si>
  <si>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</si>
  <si>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</si>
  <si>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</si>
  <si>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</si>
  <si>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</si>
  <si>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</si>
  <si>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</si>
  <si>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</si>
  <si>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</si>
  <si>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</si>
  <si>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</si>
  <si>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</si>
  <si>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</si>
  <si>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</si>
  <si>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</si>
  <si>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</si>
  <si>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</si>
  <si>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</si>
  <si>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</si>
  <si>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</si>
  <si>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</si>
  <si>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</si>
  <si>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</si>
  <si>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</si>
  <si>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</si>
  <si>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</si>
  <si>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</si>
  <si>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</si>
  <si>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</si>
  <si>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</si>
  <si>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</si>
  <si>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</si>
  <si>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</si>
  <si>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</si>
  <si>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</si>
  <si>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</si>
  <si>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</si>
  <si>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</si>
  <si>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</si>
  <si>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</si>
  <si>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</si>
  <si>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</si>
  <si>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</si>
  <si>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</si>
  <si>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</si>
  <si>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</si>
  <si>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</si>
  <si>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</si>
  <si>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</si>
  <si>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</si>
  <si>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</si>
  <si>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</si>
  <si>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</si>
  <si>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</si>
  <si>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</si>
  <si>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</si>
  <si>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</si>
  <si>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</si>
  <si>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</si>
  <si>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</si>
  <si>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</si>
  <si>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</si>
  <si>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</si>
  <si>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</si>
  <si>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</si>
  <si>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</si>
  <si>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</si>
  <si>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</si>
  <si>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</si>
  <si>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</si>
  <si>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</si>
  <si>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</si>
  <si>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</si>
  <si>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</si>
  <si>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</si>
  <si>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</si>
  <si>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</si>
  <si>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</si>
  <si>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</si>
  <si>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</si>
  <si>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</si>
  <si>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</si>
  <si>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</si>
  <si>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</si>
  <si>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</si>
  <si>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</si>
  <si>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</si>
  <si>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</si>
  <si>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</si>
  <si>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</si>
  <si>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</si>
  <si>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</si>
  <si>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</si>
  <si>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</si>
  <si>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</si>
  <si>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</si>
  <si>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</si>
  <si>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</si>
  <si>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</si>
  <si>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</si>
  <si>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</si>
  <si>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</si>
  <si>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</si>
  <si>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</si>
  <si>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</si>
  <si>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</si>
  <si>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</si>
  <si>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</si>
  <si>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</si>
  <si>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</si>
  <si>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</si>
  <si>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</si>
  <si>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</si>
  <si>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</si>
  <si>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</si>
  <si>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</si>
  <si>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</si>
  <si>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</si>
  <si>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</si>
  <si>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</si>
  <si>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</si>
  <si>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</si>
  <si>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</si>
  <si>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</si>
  <si>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</si>
  <si>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</si>
  <si>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</si>
  <si>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</si>
  <si>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</si>
  <si>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</si>
  <si>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</si>
  <si>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</si>
  <si>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</si>
  <si>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</si>
  <si>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</si>
  <si>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</si>
  <si>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`</t>
  </si>
  <si>
    <t>NewSold_MW</t>
  </si>
  <si>
    <t>ExSold_MW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</si>
  <si>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</si>
  <si>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</si>
  <si>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</si>
  <si>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</si>
  <si>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</si>
  <si>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</si>
  <si>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</si>
  <si>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</si>
  <si>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</si>
  <si>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</si>
  <si>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</si>
  <si>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</si>
  <si>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</si>
  <si>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</si>
  <si>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MRP_US</t>
  </si>
  <si>
    <t>MRI_US</t>
  </si>
  <si>
    <t>RAI_US</t>
  </si>
  <si>
    <t xml:space="preserve">2005 Q4 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</si>
  <si>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</si>
  <si>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</si>
  <si>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</si>
  <si>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</si>
  <si>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</si>
  <si>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</si>
  <si>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</si>
  <si>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</si>
  <si>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</si>
  <si>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</si>
  <si>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</si>
  <si>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</si>
  <si>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</si>
  <si>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</si>
  <si>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</si>
  <si>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 xml:space="preserve">The Q2 and Q3 2020 data on homeownership and vacancy rates, housing stock, and households should be viewed with caution. The data are based on the BLS Current Population Survey/Housing Vacancy Survey conducted by the Census Bureau and represent a break in the series because the surveys were conducted under COVID-19 restrictions that prevented normal data collection procedures. In-person interviews were suspended on March 20, 2020 and the Q2 survey was conducted solely by telephone interviews, resulting in a much lower survey response rate. In-person interviews were incrementally added back for the Q3 survey with 39 percent added in July, 50 percent in August, and 100 percent in September. See: (https://www.census.gov/housing/hvs/files/qtr320/source_20q3.pdf) </t>
  </si>
  <si>
    <t>RENTAL AFFORDABILITY INDEX</t>
  </si>
  <si>
    <t>Quarterly (RAI_Quarterly)</t>
  </si>
  <si>
    <t>HUD Rental Affordability Index for U.S.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</si>
  <si>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</si>
  <si>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</si>
  <si>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</si>
  <si>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</si>
  <si>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</si>
  <si>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</si>
  <si>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</si>
  <si>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</si>
  <si>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Quarterly (HPI_Quarterly)</t>
  </si>
  <si>
    <t>2022 Q4</t>
  </si>
  <si>
    <t>Annual (HAI_Annual)</t>
  </si>
  <si>
    <t>HOME SALES (New and Existing)</t>
  </si>
  <si>
    <t>2023 Q1</t>
  </si>
  <si>
    <t>**Seasonally adjusted</t>
  </si>
  <si>
    <t>Note: Confirmed 2016 Q4 Condo COMPLETIONS: "S" (estimates withheld) for both total units completed and % absorbed</t>
  </si>
  <si>
    <t>Note: Confirmed 2020 Q4 Condo COMPLETIONS: "S" (estimates withheld) for median sales price</t>
  </si>
  <si>
    <t>Note: Confirmed 2022 Q4 Condo COMPLETIONS: "S" (estimates withheld) for median sales price</t>
  </si>
  <si>
    <r>
      <t xml:space="preserve">Quarters here refer to quarters of </t>
    </r>
    <r>
      <rPr>
        <b/>
        <sz val="10"/>
        <rFont val="Arial"/>
        <family val="2"/>
      </rPr>
      <t>completion</t>
    </r>
    <r>
      <rPr>
        <sz val="10"/>
        <rFont val="Arial"/>
        <family val="2"/>
      </rPr>
      <t xml:space="preserve"> (not absorption)***</t>
    </r>
  </si>
  <si>
    <t>Quarterly data provided monthly (specifically for the months in between quarterly releases) are from: (a) Apartments: Seasonaly Adjusted Table in lower left of SOMA Table Creator page; (b) Condos: from Table Creator</t>
  </si>
  <si>
    <t>2023 Q2</t>
  </si>
  <si>
    <t>2023 Q3</t>
  </si>
  <si>
    <t>2023 Q4</t>
  </si>
  <si>
    <t>2024 Q1</t>
  </si>
  <si>
    <t>2024 Q2</t>
  </si>
  <si>
    <t>2024 Q3</t>
  </si>
  <si>
    <t>2024 Q4</t>
  </si>
  <si>
    <t>Median Price of Rental Housing in U.S.</t>
  </si>
  <si>
    <t>Median Income of Renter Households in U.S.</t>
  </si>
  <si>
    <t>MRP = Median Rental Price</t>
  </si>
  <si>
    <t>NOTE: MRP is inflated to 2024 dollars using CPI-U All Items.</t>
  </si>
  <si>
    <t>NOTE: The Q2 2020 - Q2 2021 MRPs are partially based on CPS/HVS surveys conducted under COVID-19 restrictions and should be viewed with caution.</t>
  </si>
  <si>
    <t>Normal data collection procedures resumed for Q3 2021. The MRP is also based on annual ACS median rental price for recent movers data; 2020 ACS</t>
  </si>
  <si>
    <t>rental price data are unavailable due to COVID data collection restrictions. The MRP is inflated to current dollars using CPI-U All Items.</t>
  </si>
  <si>
    <t>MRI = Median Renter Income</t>
  </si>
  <si>
    <t>NOTE: MRI is inflated to 2024 dollars using CPI-U All Items.</t>
  </si>
  <si>
    <t>RAI = Rental Affordability Index</t>
  </si>
  <si>
    <t>NOTE: The Q2 2020 - Q2 2021 Median Rental Prices (MRP) underlying the RAI are partially based on CPS/HVS surveys conducted under COVID-19 restrictions</t>
  </si>
  <si>
    <t xml:space="preserve">and should be viewed with caution. Normal data collection procedures resumed for Q3 2021. The MRP underlying the RAI is also based on annual ACS median </t>
  </si>
  <si>
    <t>rental price for recent movers data; 2020 ACS rental price data are unavailable due to COVID data collection restrictions.</t>
  </si>
  <si>
    <t>2025 Q1</t>
  </si>
  <si>
    <t>2025 Q2</t>
  </si>
  <si>
    <t>2025 Q3</t>
  </si>
  <si>
    <t>2025 Q4</t>
  </si>
  <si>
    <t>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</si>
</sst>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yyyy"/>
    <numFmt numFmtId="165" formatCode="_(* #,##0_);_(* \(#,##0\);_(* &quot;-&quot;??_);_(@_)"/>
    <numFmt numFmtId="166" formatCode="0.0"/>
    <numFmt numFmtId="167" formatCode="mmmm\ d\,\ yyyy"/>
    <numFmt numFmtId="168" formatCode="#,##0\ ;\-#,##0\ ;\(\Z\)\ ;@\ "/>
    <numFmt numFmtId="169" formatCode="&quot;$&quot;#,##0"/>
    <numFmt numFmtId="170" formatCode="&quot;$&quot;#,##0.00"/>
    <numFmt numFmtId="171" formatCode="&quot;$&quot;#,##0\ ;\(&quot;$&quot;#,##0\)"/>
    <numFmt numFmtId="172" formatCode="m/d"/>
    <numFmt numFmtId="173" formatCode="_([$€-2]* #,##0.00_);_([$€-2]* \(#,##0.00\);_([$€-2]* &quot;-&quot;??_)"/>
    <numFmt numFmtId="174" formatCode="0.0000000000"/>
    <numFmt numFmtId="175" formatCode="0%_);\(0%\)"/>
    <numFmt numFmtId="176" formatCode="[$$-409]* #,##0_);_([$$-409]* \#\,##0\);_([$$-409]* &quot;-&quot;_);_(@_)"/>
    <numFmt numFmtId="177" formatCode="#,##0.0"/>
    <numFmt numFmtId="178" formatCode="0.0_)"/>
    <numFmt numFmtId="179" formatCode="0.000"/>
  </numFmts>
  <fonts count="9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Helv"/>
    </font>
    <font>
      <b/>
      <sz val="14"/>
      <name val="Arial"/>
      <family val="2"/>
    </font>
    <font>
      <sz val="10"/>
      <name val="Times New Roman"/>
      <family val="1"/>
    </font>
    <font>
      <sz val="8"/>
      <color theme="1"/>
      <name val="Calibri"/>
      <family val="2"/>
      <scheme val="minor"/>
    </font>
    <font>
      <sz val="10"/>
      <name val="Helv"/>
    </font>
    <font>
      <b/>
      <sz val="12"/>
      <color theme="1"/>
      <name val="Calibri"/>
      <family val="2"/>
      <scheme val="minor"/>
    </font>
    <font>
      <u/>
      <sz val="10"/>
      <name val="Arial"/>
      <family val="2"/>
    </font>
    <font>
      <b/>
      <sz val="16"/>
      <name val="Arial"/>
      <family val="2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name val="Arial"/>
      <family val="2"/>
    </font>
    <font>
      <b/>
      <i/>
      <sz val="14"/>
      <color indexed="15"/>
      <name val="Times New Roman"/>
      <family val="1"/>
    </font>
    <font>
      <sz val="7"/>
      <name val="Small Fonts"/>
      <family val="2"/>
    </font>
    <font>
      <b/>
      <sz val="10"/>
      <name val="MS Sans Serif"/>
      <family val="2"/>
    </font>
    <font>
      <sz val="8"/>
      <color indexed="38"/>
      <name val="Arial"/>
      <family val="2"/>
    </font>
    <font>
      <sz val="8"/>
      <color indexed="32"/>
      <name val="Arial"/>
      <family val="2"/>
    </font>
    <font>
      <b/>
      <sz val="12"/>
      <color indexed="60"/>
      <name val="Arial"/>
      <family val="2"/>
    </font>
    <font>
      <b/>
      <sz val="12"/>
      <color indexed="16"/>
      <name val="Arial"/>
      <family val="2"/>
    </font>
    <font>
      <b/>
      <sz val="12"/>
      <color indexed="17"/>
      <name val="Arial"/>
      <family val="2"/>
    </font>
    <font>
      <b/>
      <sz val="12"/>
      <color indexed="54"/>
      <name val="Arial"/>
      <family val="2"/>
    </font>
    <font>
      <sz val="10"/>
      <color indexed="53"/>
      <name val="Arial"/>
      <family val="2"/>
    </font>
    <font>
      <sz val="10"/>
      <color indexed="20"/>
      <name val="Arial"/>
      <family val="2"/>
    </font>
    <font>
      <sz val="9"/>
      <color indexed="19"/>
      <name val="Arial"/>
      <family val="2"/>
    </font>
    <font>
      <sz val="10"/>
      <color indexed="19"/>
      <name val="Arial"/>
      <family val="2"/>
    </font>
    <font>
      <sz val="9"/>
      <color indexed="11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0"/>
      <color rgb="FF0070C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rgb="FF000000"/>
      <name val="Times New Roman"/>
      <family val="1"/>
    </font>
    <font>
      <sz val="11"/>
      <color theme="6" tint="-0.499984740745262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10"/>
      <color theme="5"/>
      <name val="Arial"/>
      <family val="2"/>
    </font>
    <font>
      <b/>
      <sz val="11"/>
      <color rgb="FF0070C0"/>
      <name val="Calibri"/>
      <family val="2"/>
      <scheme val="minor"/>
    </font>
    <font>
      <sz val="12"/>
      <color rgb="FF58595B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gray125">
        <fgColor indexed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8"/>
        <bgColor indexed="9"/>
      </patternFill>
    </fill>
    <fill>
      <patternFill patternType="mediumGray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7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  <xf numFmtId="44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7" borderId="0"/>
    <xf numFmtId="37" fontId="5" fillId="0" borderId="0" applyFill="0" applyBorder="0" applyAlignment="0" applyProtection="0"/>
    <xf numFmtId="5" fontId="5" fillId="0" borderId="0" applyFill="0" applyBorder="0" applyAlignment="0" applyProtection="0"/>
    <xf numFmtId="167" fontId="5" fillId="0" borderId="0" applyFill="0" applyBorder="0" applyAlignment="0" applyProtection="0"/>
    <xf numFmtId="2" fontId="5" fillId="0" borderId="0" applyFill="0" applyBorder="0" applyAlignment="0" applyProtection="0"/>
    <xf numFmtId="0" fontId="5" fillId="0" borderId="0"/>
    <xf numFmtId="0" fontId="5" fillId="0" borderId="0" applyProtection="0"/>
    <xf numFmtId="43" fontId="1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1"/>
    <xf numFmtId="0" fontId="12" fillId="0" borderId="0"/>
    <xf numFmtId="0" fontId="1" fillId="0" borderId="0"/>
    <xf numFmtId="0" fontId="16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2" fillId="7" borderId="0"/>
    <xf numFmtId="0" fontId="12" fillId="0" borderId="0"/>
    <xf numFmtId="0" fontId="12" fillId="0" borderId="1"/>
    <xf numFmtId="0" fontId="2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0" borderId="0" applyNumberFormat="0" applyAlignment="0"/>
    <xf numFmtId="0" fontId="25" fillId="0" borderId="0" applyFill="0">
      <alignment horizontal="center"/>
    </xf>
    <xf numFmtId="39" fontId="26" fillId="0" borderId="0">
      <alignment horizontal="right"/>
    </xf>
    <xf numFmtId="43" fontId="25" fillId="0" borderId="0" applyFont="0" applyFill="0" applyBorder="0" applyAlignment="0" applyProtection="0"/>
    <xf numFmtId="0" fontId="24" fillId="0" borderId="0"/>
    <xf numFmtId="170" fontId="13" fillId="0" borderId="4" applyFill="0"/>
    <xf numFmtId="0" fontId="5" fillId="0" borderId="0" applyFont="0" applyAlignment="0"/>
    <xf numFmtId="0" fontId="27" fillId="0" borderId="0" applyFill="0">
      <alignment vertical="top"/>
    </xf>
    <xf numFmtId="0" fontId="13" fillId="0" borderId="0" applyFill="0">
      <alignment horizontal="left" vertical="top"/>
    </xf>
    <xf numFmtId="170" fontId="8" fillId="0" borderId="5" applyFill="0"/>
    <xf numFmtId="0" fontId="5" fillId="0" borderId="0" applyNumberFormat="0" applyFont="0" applyAlignment="0"/>
    <xf numFmtId="0" fontId="27" fillId="0" borderId="0" applyFill="0">
      <alignment wrapText="1"/>
    </xf>
    <xf numFmtId="0" fontId="13" fillId="0" borderId="0" applyFill="0">
      <alignment horizontal="left" vertical="top" wrapText="1"/>
    </xf>
    <xf numFmtId="170" fontId="28" fillId="0" borderId="0" applyFill="0"/>
    <xf numFmtId="0" fontId="29" fillId="0" borderId="0" applyNumberFormat="0" applyFont="0" applyAlignment="0">
      <alignment horizontal="center"/>
    </xf>
    <xf numFmtId="0" fontId="30" fillId="0" borderId="0" applyFill="0">
      <alignment vertical="top" wrapText="1"/>
    </xf>
    <xf numFmtId="0" fontId="8" fillId="0" borderId="0" applyFill="0">
      <alignment horizontal="left" vertical="top" wrapText="1"/>
    </xf>
    <xf numFmtId="170" fontId="5" fillId="0" borderId="0" applyFill="0"/>
    <xf numFmtId="0" fontId="29" fillId="0" borderId="0" applyNumberFormat="0" applyFont="0" applyAlignment="0">
      <alignment horizontal="center"/>
    </xf>
    <xf numFmtId="0" fontId="31" fillId="0" borderId="0" applyFill="0">
      <alignment vertical="center" wrapText="1"/>
    </xf>
    <xf numFmtId="0" fontId="23" fillId="0" borderId="0">
      <alignment horizontal="left" vertical="center" wrapText="1"/>
    </xf>
    <xf numFmtId="170" fontId="32" fillId="0" borderId="0" applyFill="0"/>
    <xf numFmtId="0" fontId="29" fillId="0" borderId="0" applyNumberFormat="0" applyFont="0" applyAlignment="0">
      <alignment horizontal="center"/>
    </xf>
    <xf numFmtId="0" fontId="33" fillId="0" borderId="0" applyFill="0">
      <alignment horizontal="center" vertical="center" wrapText="1"/>
    </xf>
    <xf numFmtId="0" fontId="5" fillId="0" borderId="0" applyFill="0">
      <alignment horizontal="center" vertical="center" wrapText="1"/>
    </xf>
    <xf numFmtId="170" fontId="34" fillId="0" borderId="0" applyFill="0"/>
    <xf numFmtId="43" fontId="32" fillId="0" borderId="0" applyFill="0"/>
    <xf numFmtId="0" fontId="35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37" fillId="0" borderId="0" applyFill="0"/>
    <xf numFmtId="0" fontId="29" fillId="0" borderId="0" applyNumberFormat="0" applyFont="0" applyAlignment="0">
      <alignment horizontal="center"/>
    </xf>
    <xf numFmtId="0" fontId="38" fillId="0" borderId="0">
      <alignment horizontal="center" wrapText="1"/>
    </xf>
    <xf numFmtId="0" fontId="34" fillId="0" borderId="0" applyFill="0">
      <alignment horizontal="center" wrapText="1"/>
    </xf>
    <xf numFmtId="43" fontId="39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40" fillId="0" borderId="0"/>
    <xf numFmtId="2" fontId="5" fillId="0" borderId="0" applyFont="0" applyFill="0" applyBorder="0" applyAlignment="0" applyProtection="0"/>
    <xf numFmtId="38" fontId="25" fillId="11" borderId="0" applyNumberFormat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6">
      <alignment horizontal="left" vertical="center"/>
    </xf>
    <xf numFmtId="14" fontId="41" fillId="12" borderId="3">
      <alignment horizontal="center" vertical="center" wrapText="1"/>
    </xf>
    <xf numFmtId="0" fontId="42" fillId="13" borderId="0" applyNumberFormat="0" applyAlignment="0" applyProtection="0"/>
    <xf numFmtId="10" fontId="25" fillId="10" borderId="7" applyNumberFormat="0" applyBorder="0" applyAlignment="0" applyProtection="0"/>
    <xf numFmtId="0" fontId="25" fillId="11" borderId="0"/>
    <xf numFmtId="37" fontId="43" fillId="0" borderId="0"/>
    <xf numFmtId="174" fontId="5" fillId="0" borderId="0"/>
    <xf numFmtId="0" fontId="10" fillId="0" borderId="0"/>
    <xf numFmtId="0" fontId="39" fillId="0" borderId="0"/>
    <xf numFmtId="0" fontId="10" fillId="0" borderId="0"/>
    <xf numFmtId="0" fontId="4" fillId="0" borderId="0"/>
    <xf numFmtId="0" fontId="24" fillId="0" borderId="0"/>
    <xf numFmtId="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0" fillId="0" borderId="0" applyNumberFormat="0" applyFont="0" applyFill="0" applyBorder="0" applyAlignment="0" applyProtection="0">
      <alignment horizontal="left"/>
    </xf>
    <xf numFmtId="15" fontId="40" fillId="0" borderId="0" applyFont="0" applyFill="0" applyBorder="0" applyAlignment="0" applyProtection="0"/>
    <xf numFmtId="4" fontId="40" fillId="0" borderId="0" applyFont="0" applyFill="0" applyBorder="0" applyAlignment="0" applyProtection="0"/>
    <xf numFmtId="0" fontId="44" fillId="0" borderId="3">
      <alignment horizontal="center"/>
    </xf>
    <xf numFmtId="3" fontId="40" fillId="0" borderId="0" applyFont="0" applyFill="0" applyBorder="0" applyAlignment="0" applyProtection="0"/>
    <xf numFmtId="0" fontId="40" fillId="14" borderId="0" applyNumberFormat="0" applyFont="0" applyBorder="0" applyAlignment="0" applyProtection="0"/>
    <xf numFmtId="39" fontId="25" fillId="0" borderId="6" applyBorder="0">
      <protection locked="0"/>
    </xf>
    <xf numFmtId="0" fontId="45" fillId="0" borderId="0">
      <alignment horizontal="left" indent="7"/>
    </xf>
    <xf numFmtId="0" fontId="46" fillId="0" borderId="0" applyNumberFormat="0" applyFill="0" applyBorder="0" applyProtection="0">
      <alignment horizontal="left" indent="7"/>
    </xf>
    <xf numFmtId="39" fontId="26" fillId="0" borderId="0" applyFill="0">
      <alignment horizontal="right"/>
    </xf>
    <xf numFmtId="0" fontId="41" fillId="0" borderId="7" applyNumberFormat="0" applyFont="0" applyBorder="0" applyAlignment="0">
      <alignment horizontal="right"/>
    </xf>
    <xf numFmtId="0" fontId="1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9" fontId="32" fillId="0" borderId="0" applyFill="0">
      <alignment horizontal="right"/>
    </xf>
    <xf numFmtId="0" fontId="5" fillId="0" borderId="0" applyNumberFormat="0" applyFont="0" applyBorder="0" applyAlignment="0"/>
    <xf numFmtId="0" fontId="47" fillId="0" borderId="0" applyNumberFormat="0" applyFill="0" applyBorder="0" applyProtection="0">
      <alignment horizontal="left" indent="1"/>
    </xf>
    <xf numFmtId="0" fontId="48" fillId="0" borderId="0" applyNumberFormat="0" applyFill="0" applyBorder="0" applyProtection="0">
      <alignment horizontal="left" indent="1"/>
    </xf>
    <xf numFmtId="39" fontId="32" fillId="0" borderId="0" applyFill="0"/>
    <xf numFmtId="0" fontId="5" fillId="0" borderId="0" applyNumberFormat="0" applyFont="0" applyFill="0" applyBorder="0" applyAlignment="0"/>
    <xf numFmtId="0" fontId="49" fillId="0" borderId="0" applyNumberFormat="0" applyFill="0" applyBorder="0" applyProtection="0">
      <alignment horizontal="left" indent="2"/>
    </xf>
    <xf numFmtId="0" fontId="49" fillId="0" borderId="0" applyNumberFormat="0" applyFill="0" applyBorder="0" applyProtection="0">
      <alignment horizontal="left" indent="2"/>
    </xf>
    <xf numFmtId="39" fontId="32" fillId="0" borderId="0" applyFill="0"/>
    <xf numFmtId="0" fontId="5" fillId="0" borderId="0" applyNumberFormat="0" applyFont="0" applyBorder="0" applyAlignment="0"/>
    <xf numFmtId="0" fontId="50" fillId="0" borderId="0" applyNumberFormat="0" applyFill="0" applyBorder="0" applyProtection="0">
      <alignment horizontal="left" indent="3"/>
    </xf>
    <xf numFmtId="0" fontId="50" fillId="0" borderId="0" applyNumberFormat="0" applyFill="0" applyBorder="0" applyProtection="0">
      <alignment horizontal="left" indent="3"/>
    </xf>
    <xf numFmtId="39" fontId="32" fillId="0" borderId="0" applyFill="0"/>
    <xf numFmtId="0" fontId="5" fillId="0" borderId="0" applyNumberFormat="0" applyFont="0" applyBorder="0" applyAlignment="0"/>
    <xf numFmtId="0" fontId="51" fillId="0" borderId="0" applyNumberFormat="0" applyFill="0" applyBorder="0" applyProtection="0">
      <alignment horizontal="left" indent="4"/>
    </xf>
    <xf numFmtId="0" fontId="51" fillId="0" borderId="0" applyNumberFormat="0" applyFill="0" applyBorder="0" applyProtection="0">
      <alignment horizontal="left" indent="4"/>
    </xf>
    <xf numFmtId="39" fontId="32" fillId="0" borderId="0" applyFill="0"/>
    <xf numFmtId="0" fontId="5" fillId="0" borderId="0" applyNumberFormat="0" applyFont="0" applyBorder="0" applyAlignment="0"/>
    <xf numFmtId="0" fontId="52" fillId="0" borderId="0" applyNumberFormat="0" applyFill="0" applyBorder="0" applyProtection="0">
      <alignment horizontal="left" indent="5"/>
    </xf>
    <xf numFmtId="0" fontId="52" fillId="0" borderId="0" applyNumberFormat="0" applyFill="0" applyBorder="0" applyProtection="0">
      <alignment horizontal="left" indent="5"/>
    </xf>
    <xf numFmtId="39" fontId="32" fillId="0" borderId="0" applyFill="0"/>
    <xf numFmtId="0" fontId="5" fillId="0" borderId="0" applyNumberFormat="0" applyFont="0" applyFill="0" applyBorder="0" applyAlignment="0"/>
    <xf numFmtId="0" fontId="53" fillId="0" borderId="0" applyNumberFormat="0" applyFill="0" applyBorder="0" applyProtection="0">
      <alignment horizontal="left" indent="6"/>
    </xf>
    <xf numFmtId="0" fontId="54" fillId="0" borderId="0" applyNumberFormat="0" applyFill="0" applyBorder="0" applyProtection="0">
      <alignment horizontal="left" indent="6"/>
    </xf>
    <xf numFmtId="39" fontId="32" fillId="0" borderId="0"/>
    <xf numFmtId="39" fontId="55" fillId="0" borderId="0" applyNumberFormat="0" applyFill="0" applyBorder="0" applyProtection="0">
      <alignment horizontal="left" indent="7"/>
    </xf>
    <xf numFmtId="39" fontId="55" fillId="0" borderId="0" applyNumberFormat="0" applyFill="0" applyBorder="0" applyProtection="0">
      <alignment horizontal="left" indent="7"/>
    </xf>
    <xf numFmtId="39" fontId="45" fillId="0" borderId="0" applyNumberFormat="0" applyFill="0" applyBorder="0" applyProtection="0">
      <alignment horizontal="left" indent="8"/>
    </xf>
    <xf numFmtId="39" fontId="45" fillId="0" borderId="0" applyNumberFormat="0" applyFill="0" applyBorder="0" applyProtection="0">
      <alignment horizontal="left" indent="8"/>
    </xf>
    <xf numFmtId="39" fontId="56" fillId="0" borderId="0" applyNumberFormat="0" applyFill="0" applyBorder="0" applyProtection="0">
      <alignment horizontal="left" indent="9"/>
    </xf>
    <xf numFmtId="39" fontId="56" fillId="0" borderId="0" applyNumberFormat="0" applyFill="0" applyBorder="0" applyProtection="0">
      <alignment horizontal="left" indent="9"/>
    </xf>
    <xf numFmtId="0" fontId="23" fillId="0" borderId="0"/>
    <xf numFmtId="0" fontId="57" fillId="0" borderId="0" applyFill="0" applyBorder="0" applyProtection="0">
      <alignment horizontal="left" vertical="top"/>
    </xf>
    <xf numFmtId="0" fontId="1" fillId="0" borderId="0"/>
    <xf numFmtId="0" fontId="16" fillId="0" borderId="0"/>
    <xf numFmtId="0" fontId="16" fillId="0" borderId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8" fillId="0" borderId="0"/>
    <xf numFmtId="43" fontId="5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9" fillId="0" borderId="0"/>
    <xf numFmtId="0" fontId="16" fillId="0" borderId="0"/>
    <xf numFmtId="0" fontId="16" fillId="0" borderId="0"/>
    <xf numFmtId="0" fontId="16" fillId="0" borderId="0"/>
    <xf numFmtId="0" fontId="59" fillId="0" borderId="0"/>
    <xf numFmtId="0" fontId="16" fillId="0" borderId="0"/>
    <xf numFmtId="0" fontId="16" fillId="0" borderId="0"/>
    <xf numFmtId="0" fontId="16" fillId="0" borderId="0"/>
    <xf numFmtId="0" fontId="61" fillId="0" borderId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16" fillId="0" borderId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5" fillId="0" borderId="0"/>
    <xf numFmtId="0" fontId="16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62" fillId="0" borderId="0"/>
    <xf numFmtId="0" fontId="62" fillId="0" borderId="0"/>
    <xf numFmtId="0" fontId="62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63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5" fillId="0" borderId="0" applyNumberFormat="0" applyFill="0" applyBorder="0" applyAlignment="0" applyProtection="0"/>
    <xf numFmtId="0" fontId="66" fillId="0" borderId="8" applyNumberFormat="0" applyFill="0" applyAlignment="0" applyProtection="0"/>
    <xf numFmtId="0" fontId="67" fillId="0" borderId="9" applyNumberFormat="0" applyFill="0" applyAlignment="0" applyProtection="0"/>
    <xf numFmtId="0" fontId="68" fillId="0" borderId="10" applyNumberFormat="0" applyFill="0" applyAlignment="0" applyProtection="0"/>
    <xf numFmtId="0" fontId="68" fillId="0" borderId="0" applyNumberFormat="0" applyFill="0" applyBorder="0" applyAlignment="0" applyProtection="0"/>
    <xf numFmtId="0" fontId="69" fillId="15" borderId="0" applyNumberFormat="0" applyBorder="0" applyAlignment="0" applyProtection="0"/>
    <xf numFmtId="0" fontId="70" fillId="16" borderId="0" applyNumberFormat="0" applyBorder="0" applyAlignment="0" applyProtection="0"/>
    <xf numFmtId="0" fontId="71" fillId="17" borderId="0" applyNumberFormat="0" applyBorder="0" applyAlignment="0" applyProtection="0"/>
    <xf numFmtId="0" fontId="72" fillId="18" borderId="11" applyNumberFormat="0" applyAlignment="0" applyProtection="0"/>
    <xf numFmtId="0" fontId="73" fillId="19" borderId="12" applyNumberFormat="0" applyAlignment="0" applyProtection="0"/>
    <xf numFmtId="0" fontId="74" fillId="19" borderId="11" applyNumberFormat="0" applyAlignment="0" applyProtection="0"/>
    <xf numFmtId="0" fontId="75" fillId="0" borderId="13" applyNumberFormat="0" applyFill="0" applyAlignment="0" applyProtection="0"/>
    <xf numFmtId="0" fontId="76" fillId="20" borderId="14" applyNumberFormat="0" applyAlignment="0" applyProtection="0"/>
    <xf numFmtId="0" fontId="77" fillId="0" borderId="0" applyNumberFormat="0" applyFill="0" applyBorder="0" applyAlignment="0" applyProtection="0"/>
    <xf numFmtId="0" fontId="1" fillId="21" borderId="15" applyNumberFormat="0" applyFont="0" applyAlignment="0" applyProtection="0"/>
    <xf numFmtId="0" fontId="7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7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79" fillId="25" borderId="0" applyNumberFormat="0" applyBorder="0" applyAlignment="0" applyProtection="0"/>
    <xf numFmtId="0" fontId="7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79" fillId="33" borderId="0" applyNumberFormat="0" applyBorder="0" applyAlignment="0" applyProtection="0"/>
    <xf numFmtId="0" fontId="7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79" fillId="37" borderId="0" applyNumberFormat="0" applyBorder="0" applyAlignment="0" applyProtection="0"/>
    <xf numFmtId="0" fontId="7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79" fillId="41" borderId="0" applyNumberFormat="0" applyBorder="0" applyAlignment="0" applyProtection="0"/>
    <xf numFmtId="0" fontId="79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79" fillId="45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43" fontId="6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" fillId="0" borderId="0"/>
    <xf numFmtId="0" fontId="5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" fillId="23" borderId="0" applyNumberFormat="0" applyBorder="0" applyAlignment="0" applyProtection="0"/>
    <xf numFmtId="0" fontId="16" fillId="0" borderId="0"/>
    <xf numFmtId="0" fontId="16" fillId="0" borderId="0"/>
    <xf numFmtId="0" fontId="80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3" fontId="5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21" borderId="15" applyNumberFormat="0" applyFont="0" applyAlignment="0" applyProtection="0"/>
    <xf numFmtId="0" fontId="1" fillId="21" borderId="15" applyNumberFormat="0" applyFont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80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43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64" fillId="0" borderId="0"/>
    <xf numFmtId="37" fontId="5" fillId="0" borderId="0" applyFill="0" applyBorder="0" applyAlignment="0" applyProtection="0"/>
    <xf numFmtId="5" fontId="5" fillId="0" borderId="0" applyFill="0" applyBorder="0" applyAlignment="0" applyProtection="0"/>
    <xf numFmtId="167" fontId="5" fillId="0" borderId="0" applyFill="0" applyBorder="0" applyAlignment="0" applyProtection="0"/>
    <xf numFmtId="2" fontId="5" fillId="0" borderId="0" applyFill="0" applyBorder="0" applyAlignment="0" applyProtection="0"/>
    <xf numFmtId="0" fontId="5" fillId="0" borderId="0"/>
    <xf numFmtId="0" fontId="6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4" fillId="0" borderId="0"/>
    <xf numFmtId="0" fontId="5" fillId="0" borderId="0"/>
    <xf numFmtId="3" fontId="5" fillId="0" borderId="0" applyFont="0" applyFill="0" applyBorder="0" applyAlignment="0" applyProtection="0"/>
    <xf numFmtId="0" fontId="5" fillId="0" borderId="0"/>
    <xf numFmtId="0" fontId="4" fillId="0" borderId="0"/>
    <xf numFmtId="0" fontId="8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0" fillId="0" borderId="0"/>
    <xf numFmtId="0" fontId="5" fillId="0" borderId="0"/>
    <xf numFmtId="3" fontId="5" fillId="0" borderId="0"/>
    <xf numFmtId="176" fontId="5" fillId="0" borderId="0"/>
    <xf numFmtId="0" fontId="64" fillId="0" borderId="0"/>
    <xf numFmtId="3" fontId="5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3" fontId="5" fillId="0" borderId="0"/>
    <xf numFmtId="0" fontId="5" fillId="0" borderId="0"/>
    <xf numFmtId="0" fontId="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8" applyNumberFormat="0" applyFill="0" applyAlignment="0" applyProtection="0"/>
    <xf numFmtId="0" fontId="67" fillId="0" borderId="9" applyNumberFormat="0" applyFill="0" applyAlignment="0" applyProtection="0"/>
    <xf numFmtId="0" fontId="68" fillId="0" borderId="10" applyNumberFormat="0" applyFill="0" applyAlignment="0" applyProtection="0"/>
    <xf numFmtId="0" fontId="68" fillId="0" borderId="0" applyNumberFormat="0" applyFill="0" applyBorder="0" applyAlignment="0" applyProtection="0"/>
    <xf numFmtId="0" fontId="69" fillId="15" borderId="0" applyNumberFormat="0" applyBorder="0" applyAlignment="0" applyProtection="0"/>
    <xf numFmtId="0" fontId="70" fillId="16" borderId="0" applyNumberFormat="0" applyBorder="0" applyAlignment="0" applyProtection="0"/>
    <xf numFmtId="0" fontId="71" fillId="17" borderId="0" applyNumberFormat="0" applyBorder="0" applyAlignment="0" applyProtection="0"/>
    <xf numFmtId="0" fontId="72" fillId="18" borderId="11" applyNumberFormat="0" applyAlignment="0" applyProtection="0"/>
    <xf numFmtId="0" fontId="73" fillId="19" borderId="12" applyNumberFormat="0" applyAlignment="0" applyProtection="0"/>
    <xf numFmtId="0" fontId="74" fillId="19" borderId="11" applyNumberFormat="0" applyAlignment="0" applyProtection="0"/>
    <xf numFmtId="0" fontId="75" fillId="0" borderId="13" applyNumberFormat="0" applyFill="0" applyAlignment="0" applyProtection="0"/>
    <xf numFmtId="0" fontId="76" fillId="20" borderId="14" applyNumberFormat="0" applyAlignment="0" applyProtection="0"/>
    <xf numFmtId="0" fontId="77" fillId="0" borderId="0" applyNumberFormat="0" applyFill="0" applyBorder="0" applyAlignment="0" applyProtection="0"/>
    <xf numFmtId="0" fontId="1" fillId="21" borderId="15" applyNumberFormat="0" applyFont="0" applyAlignment="0" applyProtection="0"/>
    <xf numFmtId="0" fontId="7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7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79" fillId="25" borderId="0" applyNumberFormat="0" applyBorder="0" applyAlignment="0" applyProtection="0"/>
    <xf numFmtId="0" fontId="7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79" fillId="33" borderId="0" applyNumberFormat="0" applyBorder="0" applyAlignment="0" applyProtection="0"/>
    <xf numFmtId="0" fontId="7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79" fillId="37" borderId="0" applyNumberFormat="0" applyBorder="0" applyAlignment="0" applyProtection="0"/>
    <xf numFmtId="0" fontId="7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79" fillId="41" borderId="0" applyNumberFormat="0" applyBorder="0" applyAlignment="0" applyProtection="0"/>
    <xf numFmtId="0" fontId="79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79" fillId="45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2" fillId="0" borderId="0"/>
    <xf numFmtId="0" fontId="16" fillId="0" borderId="0"/>
    <xf numFmtId="0" fontId="82" fillId="0" borderId="0"/>
    <xf numFmtId="0" fontId="1" fillId="0" borderId="0"/>
    <xf numFmtId="43" fontId="1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6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2" fillId="0" borderId="0"/>
    <xf numFmtId="0" fontId="82" fillId="0" borderId="0"/>
    <xf numFmtId="0" fontId="82" fillId="0" borderId="0"/>
    <xf numFmtId="0" fontId="66" fillId="0" borderId="8" applyNumberFormat="0" applyFill="0" applyAlignment="0" applyProtection="0"/>
    <xf numFmtId="0" fontId="67" fillId="0" borderId="9" applyNumberFormat="0" applyFill="0" applyAlignment="0" applyProtection="0"/>
    <xf numFmtId="0" fontId="68" fillId="0" borderId="10" applyNumberFormat="0" applyFill="0" applyAlignment="0" applyProtection="0"/>
    <xf numFmtId="0" fontId="68" fillId="0" borderId="0" applyNumberFormat="0" applyFill="0" applyBorder="0" applyAlignment="0" applyProtection="0"/>
    <xf numFmtId="0" fontId="69" fillId="15" borderId="0" applyNumberFormat="0" applyBorder="0" applyAlignment="0" applyProtection="0"/>
    <xf numFmtId="0" fontId="70" fillId="16" borderId="0" applyNumberFormat="0" applyBorder="0" applyAlignment="0" applyProtection="0"/>
    <xf numFmtId="0" fontId="71" fillId="17" borderId="0" applyNumberFormat="0" applyBorder="0" applyAlignment="0" applyProtection="0"/>
    <xf numFmtId="0" fontId="72" fillId="18" borderId="11" applyNumberFormat="0" applyAlignment="0" applyProtection="0"/>
    <xf numFmtId="0" fontId="73" fillId="19" borderId="12" applyNumberFormat="0" applyAlignment="0" applyProtection="0"/>
    <xf numFmtId="0" fontId="74" fillId="19" borderId="11" applyNumberFormat="0" applyAlignment="0" applyProtection="0"/>
    <xf numFmtId="0" fontId="75" fillId="0" borderId="13" applyNumberFormat="0" applyFill="0" applyAlignment="0" applyProtection="0"/>
    <xf numFmtId="0" fontId="76" fillId="20" borderId="14" applyNumberFormat="0" applyAlignment="0" applyProtection="0"/>
    <xf numFmtId="0" fontId="77" fillId="0" borderId="0" applyNumberFormat="0" applyFill="0" applyBorder="0" applyAlignment="0" applyProtection="0"/>
    <xf numFmtId="0" fontId="1" fillId="21" borderId="15" applyNumberFormat="0" applyFont="0" applyAlignment="0" applyProtection="0"/>
    <xf numFmtId="0" fontId="7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7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79" fillId="25" borderId="0" applyNumberFormat="0" applyBorder="0" applyAlignment="0" applyProtection="0"/>
    <xf numFmtId="0" fontId="7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79" fillId="33" borderId="0" applyNumberFormat="0" applyBorder="0" applyAlignment="0" applyProtection="0"/>
    <xf numFmtId="0" fontId="7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79" fillId="37" borderId="0" applyNumberFormat="0" applyBorder="0" applyAlignment="0" applyProtection="0"/>
    <xf numFmtId="0" fontId="7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79" fillId="41" borderId="0" applyNumberFormat="0" applyBorder="0" applyAlignment="0" applyProtection="0"/>
    <xf numFmtId="0" fontId="79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79" fillId="45" borderId="0" applyNumberFormat="0" applyBorder="0" applyAlignment="0" applyProtection="0"/>
    <xf numFmtId="0" fontId="86" fillId="0" borderId="0"/>
    <xf numFmtId="0" fontId="79" fillId="26" borderId="0" applyNumberFormat="0" applyBorder="0" applyAlignment="0" applyProtection="0"/>
    <xf numFmtId="0" fontId="79" fillId="29" borderId="0" applyNumberFormat="0" applyBorder="0" applyAlignment="0" applyProtection="0"/>
    <xf numFmtId="0" fontId="76" fillId="20" borderId="14" applyNumberFormat="0" applyAlignment="0" applyProtection="0"/>
    <xf numFmtId="0" fontId="72" fillId="18" borderId="11" applyNumberFormat="0" applyAlignment="0" applyProtection="0"/>
    <xf numFmtId="0" fontId="68" fillId="0" borderId="0" applyNumberFormat="0" applyFill="0" applyBorder="0" applyAlignment="0" applyProtection="0"/>
    <xf numFmtId="3" fontId="5" fillId="0" borderId="0" applyFont="0" applyFill="0" applyBorder="0" applyAlignment="0" applyProtection="0"/>
    <xf numFmtId="0" fontId="79" fillId="37" borderId="0" applyNumberFormat="0" applyBorder="0" applyAlignment="0" applyProtection="0"/>
    <xf numFmtId="0" fontId="68" fillId="0" borderId="10" applyNumberFormat="0" applyFill="0" applyAlignment="0" applyProtection="0"/>
    <xf numFmtId="3" fontId="5" fillId="0" borderId="0" applyFont="0" applyFill="0" applyBorder="0" applyAlignment="0" applyProtection="0"/>
    <xf numFmtId="0" fontId="79" fillId="45" borderId="0" applyNumberFormat="0" applyBorder="0" applyAlignment="0" applyProtection="0"/>
    <xf numFmtId="0" fontId="82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43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37" fontId="5" fillId="0" borderId="0" applyFill="0" applyBorder="0" applyAlignment="0" applyProtection="0"/>
    <xf numFmtId="5" fontId="5" fillId="0" borderId="0" applyFill="0" applyBorder="0" applyAlignment="0" applyProtection="0"/>
    <xf numFmtId="167" fontId="5" fillId="0" borderId="0" applyFill="0" applyBorder="0" applyAlignment="0" applyProtection="0"/>
    <xf numFmtId="2" fontId="5" fillId="0" borderId="0" applyFill="0" applyBorder="0" applyAlignment="0" applyProtection="0"/>
    <xf numFmtId="0" fontId="73" fillId="19" borderId="12" applyNumberFormat="0" applyAlignment="0" applyProtection="0"/>
    <xf numFmtId="0" fontId="79" fillId="22" borderId="0" applyNumberFormat="0" applyBorder="0" applyAlignment="0" applyProtection="0"/>
    <xf numFmtId="0" fontId="1" fillId="43" borderId="0" applyNumberFormat="0" applyBorder="0" applyAlignment="0" applyProtection="0"/>
    <xf numFmtId="0" fontId="75" fillId="0" borderId="13" applyNumberFormat="0" applyFill="0" applyAlignment="0" applyProtection="0"/>
    <xf numFmtId="0" fontId="1" fillId="40" borderId="0" applyNumberFormat="0" applyBorder="0" applyAlignment="0" applyProtection="0"/>
    <xf numFmtId="0" fontId="1" fillId="27" borderId="0" applyNumberFormat="0" applyBorder="0" applyAlignment="0" applyProtection="0"/>
    <xf numFmtId="0" fontId="79" fillId="34" borderId="0" applyNumberFormat="0" applyBorder="0" applyAlignment="0" applyProtection="0"/>
    <xf numFmtId="0" fontId="79" fillId="30" borderId="0" applyNumberFormat="0" applyBorder="0" applyAlignment="0" applyProtection="0"/>
    <xf numFmtId="0" fontId="1" fillId="24" borderId="0" applyNumberFormat="0" applyBorder="0" applyAlignment="0" applyProtection="0"/>
    <xf numFmtId="0" fontId="67" fillId="0" borderId="9" applyNumberFormat="0" applyFill="0" applyAlignment="0" applyProtection="0"/>
    <xf numFmtId="3" fontId="5" fillId="0" borderId="0" applyFont="0" applyFill="0" applyBorder="0" applyAlignment="0" applyProtection="0"/>
    <xf numFmtId="0" fontId="82" fillId="0" borderId="0"/>
    <xf numFmtId="0" fontId="1" fillId="35" borderId="0" applyNumberFormat="0" applyBorder="0" applyAlignment="0" applyProtection="0"/>
    <xf numFmtId="0" fontId="71" fillId="17" borderId="0" applyNumberFormat="0" applyBorder="0" applyAlignment="0" applyProtection="0"/>
    <xf numFmtId="0" fontId="1" fillId="21" borderId="15" applyNumberFormat="0" applyFont="0" applyAlignment="0" applyProtection="0"/>
    <xf numFmtId="0" fontId="74" fillId="19" borderId="11" applyNumberFormat="0" applyAlignment="0" applyProtection="0"/>
    <xf numFmtId="0" fontId="70" fillId="16" borderId="0" applyNumberFormat="0" applyBorder="0" applyAlignment="0" applyProtection="0"/>
    <xf numFmtId="0" fontId="66" fillId="0" borderId="8" applyNumberFormat="0" applyFill="0" applyAlignment="0" applyProtection="0"/>
    <xf numFmtId="0" fontId="79" fillId="38" borderId="0" applyNumberFormat="0" applyBorder="0" applyAlignment="0" applyProtection="0"/>
    <xf numFmtId="0" fontId="1" fillId="28" borderId="0" applyNumberFormat="0" applyBorder="0" applyAlignment="0" applyProtection="0"/>
    <xf numFmtId="0" fontId="1" fillId="36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79" fillId="25" borderId="0" applyNumberFormat="0" applyBorder="0" applyAlignment="0" applyProtection="0"/>
    <xf numFmtId="0" fontId="77" fillId="0" borderId="0" applyNumberFormat="0" applyFill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0" fontId="82" fillId="0" borderId="0"/>
    <xf numFmtId="0" fontId="69" fillId="15" borderId="0" applyNumberFormat="0" applyBorder="0" applyAlignment="0" applyProtection="0"/>
    <xf numFmtId="0" fontId="2" fillId="0" borderId="16" applyNumberFormat="0" applyFill="0" applyAlignment="0" applyProtection="0"/>
    <xf numFmtId="0" fontId="86" fillId="0" borderId="0"/>
    <xf numFmtId="0" fontId="1" fillId="39" borderId="0" applyNumberFormat="0" applyBorder="0" applyAlignment="0" applyProtection="0"/>
    <xf numFmtId="0" fontId="1" fillId="0" borderId="0"/>
    <xf numFmtId="0" fontId="79" fillId="41" borderId="0" applyNumberFormat="0" applyBorder="0" applyAlignment="0" applyProtection="0"/>
    <xf numFmtId="0" fontId="78" fillId="0" borderId="0" applyNumberFormat="0" applyFill="0" applyBorder="0" applyAlignment="0" applyProtection="0"/>
    <xf numFmtId="0" fontId="1" fillId="23" borderId="0" applyNumberFormat="0" applyBorder="0" applyAlignment="0" applyProtection="0"/>
    <xf numFmtId="0" fontId="86" fillId="0" borderId="0"/>
    <xf numFmtId="0" fontId="79" fillId="33" borderId="0" applyNumberFormat="0" applyBorder="0" applyAlignment="0" applyProtection="0"/>
    <xf numFmtId="0" fontId="79" fillId="42" borderId="0" applyNumberFormat="0" applyBorder="0" applyAlignment="0" applyProtection="0"/>
    <xf numFmtId="0" fontId="82" fillId="0" borderId="0"/>
    <xf numFmtId="0" fontId="82" fillId="0" borderId="0"/>
    <xf numFmtId="0" fontId="1" fillId="0" borderId="0"/>
    <xf numFmtId="43" fontId="1" fillId="0" borderId="0" applyFont="0" applyFill="0" applyBorder="0" applyAlignment="0" applyProtection="0"/>
    <xf numFmtId="0" fontId="66" fillId="0" borderId="8" applyNumberFormat="0" applyFill="0" applyAlignment="0" applyProtection="0"/>
    <xf numFmtId="0" fontId="67" fillId="0" borderId="9" applyNumberFormat="0" applyFill="0" applyAlignment="0" applyProtection="0"/>
    <xf numFmtId="0" fontId="68" fillId="0" borderId="10" applyNumberFormat="0" applyFill="0" applyAlignment="0" applyProtection="0"/>
    <xf numFmtId="0" fontId="68" fillId="0" borderId="0" applyNumberFormat="0" applyFill="0" applyBorder="0" applyAlignment="0" applyProtection="0"/>
    <xf numFmtId="0" fontId="69" fillId="15" borderId="0" applyNumberFormat="0" applyBorder="0" applyAlignment="0" applyProtection="0"/>
    <xf numFmtId="0" fontId="70" fillId="16" borderId="0" applyNumberFormat="0" applyBorder="0" applyAlignment="0" applyProtection="0"/>
    <xf numFmtId="0" fontId="71" fillId="17" borderId="0" applyNumberFormat="0" applyBorder="0" applyAlignment="0" applyProtection="0"/>
    <xf numFmtId="0" fontId="72" fillId="18" borderId="11" applyNumberFormat="0" applyAlignment="0" applyProtection="0"/>
    <xf numFmtId="0" fontId="73" fillId="19" borderId="12" applyNumberFormat="0" applyAlignment="0" applyProtection="0"/>
    <xf numFmtId="0" fontId="74" fillId="19" borderId="11" applyNumberFormat="0" applyAlignment="0" applyProtection="0"/>
    <xf numFmtId="0" fontId="75" fillId="0" borderId="13" applyNumberFormat="0" applyFill="0" applyAlignment="0" applyProtection="0"/>
    <xf numFmtId="0" fontId="76" fillId="20" borderId="14" applyNumberFormat="0" applyAlignment="0" applyProtection="0"/>
    <xf numFmtId="0" fontId="77" fillId="0" borderId="0" applyNumberFormat="0" applyFill="0" applyBorder="0" applyAlignment="0" applyProtection="0"/>
    <xf numFmtId="0" fontId="1" fillId="21" borderId="15" applyNumberFormat="0" applyFont="0" applyAlignment="0" applyProtection="0"/>
    <xf numFmtId="0" fontId="7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7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79" fillId="25" borderId="0" applyNumberFormat="0" applyBorder="0" applyAlignment="0" applyProtection="0"/>
    <xf numFmtId="0" fontId="7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79" fillId="33" borderId="0" applyNumberFormat="0" applyBorder="0" applyAlignment="0" applyProtection="0"/>
    <xf numFmtId="0" fontId="7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79" fillId="37" borderId="0" applyNumberFormat="0" applyBorder="0" applyAlignment="0" applyProtection="0"/>
    <xf numFmtId="0" fontId="7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79" fillId="41" borderId="0" applyNumberFormat="0" applyBorder="0" applyAlignment="0" applyProtection="0"/>
    <xf numFmtId="0" fontId="79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79" fillId="45" borderId="0" applyNumberFormat="0" applyBorder="0" applyAlignment="0" applyProtection="0"/>
    <xf numFmtId="0" fontId="86" fillId="0" borderId="0"/>
    <xf numFmtId="3" fontId="5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43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37" fontId="5" fillId="0" borderId="0" applyFill="0" applyBorder="0" applyAlignment="0" applyProtection="0"/>
    <xf numFmtId="5" fontId="5" fillId="0" borderId="0" applyFill="0" applyBorder="0" applyAlignment="0" applyProtection="0"/>
    <xf numFmtId="167" fontId="5" fillId="0" borderId="0" applyFill="0" applyBorder="0" applyAlignment="0" applyProtection="0"/>
    <xf numFmtId="2" fontId="5" fillId="0" borderId="0" applyFill="0" applyBorder="0" applyAlignment="0" applyProtection="0"/>
    <xf numFmtId="0" fontId="86" fillId="0" borderId="0"/>
    <xf numFmtId="3" fontId="5" fillId="0" borderId="0" applyFont="0" applyFill="0" applyBorder="0" applyAlignment="0" applyProtection="0"/>
    <xf numFmtId="0" fontId="86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43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37" fontId="5" fillId="0" borderId="0" applyFill="0" applyBorder="0" applyAlignment="0" applyProtection="0"/>
    <xf numFmtId="5" fontId="5" fillId="0" borderId="0" applyFill="0" applyBorder="0" applyAlignment="0" applyProtection="0"/>
    <xf numFmtId="167" fontId="5" fillId="0" borderId="0" applyFill="0" applyBorder="0" applyAlignment="0" applyProtection="0"/>
    <xf numFmtId="2" fontId="5" fillId="0" borderId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86" fillId="0" borderId="0"/>
    <xf numFmtId="0" fontId="86" fillId="0" borderId="0"/>
    <xf numFmtId="0" fontId="4" fillId="0" borderId="0"/>
    <xf numFmtId="3" fontId="5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43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37" fontId="5" fillId="0" borderId="0" applyFill="0" applyBorder="0" applyAlignment="0" applyProtection="0"/>
    <xf numFmtId="5" fontId="5" fillId="0" borderId="0" applyFill="0" applyBorder="0" applyAlignment="0" applyProtection="0"/>
    <xf numFmtId="167" fontId="5" fillId="0" borderId="0" applyFill="0" applyBorder="0" applyAlignment="0" applyProtection="0"/>
    <xf numFmtId="2" fontId="5" fillId="0" borderId="0" applyFill="0" applyBorder="0" applyAlignment="0" applyProtection="0"/>
    <xf numFmtId="0" fontId="5" fillId="0" borderId="0"/>
    <xf numFmtId="0" fontId="5" fillId="0" borderId="0"/>
    <xf numFmtId="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5" fillId="0" borderId="0"/>
    <xf numFmtId="0" fontId="5" fillId="0" borderId="0"/>
    <xf numFmtId="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82" fillId="0" borderId="0"/>
    <xf numFmtId="0" fontId="5" fillId="0" borderId="0"/>
    <xf numFmtId="0" fontId="5" fillId="0" borderId="0"/>
    <xf numFmtId="0" fontId="5" fillId="0" borderId="0"/>
    <xf numFmtId="0" fontId="89" fillId="0" borderId="0" applyNumberFormat="0" applyFill="0" applyBorder="0" applyAlignment="0" applyProtection="0"/>
    <xf numFmtId="0" fontId="92" fillId="0" borderId="0"/>
    <xf numFmtId="0" fontId="92" fillId="0" borderId="0"/>
    <xf numFmtId="0" fontId="4" fillId="0" borderId="0"/>
    <xf numFmtId="0" fontId="1" fillId="0" borderId="0"/>
    <xf numFmtId="0" fontId="65" fillId="0" borderId="0" applyNumberFormat="0" applyFill="0" applyBorder="0" applyAlignment="0" applyProtection="0"/>
    <xf numFmtId="0" fontId="71" fillId="17" borderId="0" applyNumberFormat="0" applyBorder="0" applyAlignment="0" applyProtection="0"/>
    <xf numFmtId="0" fontId="79" fillId="25" borderId="0" applyNumberFormat="0" applyBorder="0" applyAlignment="0" applyProtection="0"/>
    <xf numFmtId="0" fontId="79" fillId="29" borderId="0" applyNumberFormat="0" applyBorder="0" applyAlignment="0" applyProtection="0"/>
    <xf numFmtId="0" fontId="79" fillId="33" borderId="0" applyNumberFormat="0" applyBorder="0" applyAlignment="0" applyProtection="0"/>
    <xf numFmtId="0" fontId="79" fillId="37" borderId="0" applyNumberFormat="0" applyBorder="0" applyAlignment="0" applyProtection="0"/>
    <xf numFmtId="0" fontId="79" fillId="41" borderId="0" applyNumberFormat="0" applyBorder="0" applyAlignment="0" applyProtection="0"/>
    <xf numFmtId="0" fontId="79" fillId="45" borderId="0" applyNumberFormat="0" applyBorder="0" applyAlignment="0" applyProtection="0"/>
    <xf numFmtId="0" fontId="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9" fillId="0" borderId="0" applyNumberFormat="0" applyFill="0" applyBorder="0" applyAlignment="0" applyProtection="0"/>
  </cellStyleXfs>
  <cellXfs count="198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4" fontId="3" fillId="0" borderId="0" xfId="0" applyNumberFormat="1" applyFont="1"/>
    <xf numFmtId="0" fontId="6" fillId="2" borderId="0" xfId="0" applyFont="1" applyFill="1" applyAlignment="1">
      <alignment horizontal="left" vertical="top"/>
    </xf>
    <xf numFmtId="0" fontId="3" fillId="2" borderId="0" xfId="0" applyFont="1" applyFill="1"/>
    <xf numFmtId="0" fontId="7" fillId="2" borderId="0" xfId="0" applyFont="1" applyFill="1"/>
    <xf numFmtId="0" fontId="6" fillId="3" borderId="0" xfId="0" applyFont="1" applyFill="1"/>
    <xf numFmtId="0" fontId="3" fillId="3" borderId="0" xfId="0" applyFont="1" applyFill="1"/>
    <xf numFmtId="0" fontId="7" fillId="3" borderId="0" xfId="0" applyFont="1" applyFill="1"/>
    <xf numFmtId="0" fontId="0" fillId="3" borderId="0" xfId="0" applyFill="1"/>
    <xf numFmtId="0" fontId="10" fillId="0" borderId="0" xfId="0" applyFont="1"/>
    <xf numFmtId="0" fontId="5" fillId="0" borderId="0" xfId="3"/>
    <xf numFmtId="164" fontId="10" fillId="0" borderId="0" xfId="0" applyNumberFormat="1" applyFont="1" applyAlignment="1">
      <alignment horizontal="right"/>
    </xf>
    <xf numFmtId="1" fontId="0" fillId="0" borderId="0" xfId="0" applyNumberFormat="1"/>
    <xf numFmtId="0" fontId="6" fillId="4" borderId="0" xfId="0" applyFont="1" applyFill="1"/>
    <xf numFmtId="0" fontId="0" fillId="4" borderId="0" xfId="0" applyFill="1"/>
    <xf numFmtId="0" fontId="3" fillId="4" borderId="0" xfId="0" applyFont="1" applyFill="1"/>
    <xf numFmtId="0" fontId="11" fillId="4" borderId="0" xfId="0" applyFont="1" applyFill="1"/>
    <xf numFmtId="0" fontId="2" fillId="4" borderId="0" xfId="0" applyFont="1" applyFill="1"/>
    <xf numFmtId="3" fontId="5" fillId="0" borderId="0" xfId="10" applyNumberFormat="1"/>
    <xf numFmtId="1" fontId="10" fillId="0" borderId="0" xfId="0" applyNumberFormat="1" applyFont="1"/>
    <xf numFmtId="3" fontId="10" fillId="0" borderId="0" xfId="6" applyNumberFormat="1" applyFont="1" applyAlignment="1">
      <alignment horizontal="center"/>
    </xf>
    <xf numFmtId="0" fontId="6" fillId="5" borderId="0" xfId="0" applyFont="1" applyFill="1"/>
    <xf numFmtId="0" fontId="0" fillId="5" borderId="0" xfId="0" applyFill="1"/>
    <xf numFmtId="0" fontId="3" fillId="5" borderId="0" xfId="0" applyFont="1" applyFill="1"/>
    <xf numFmtId="0" fontId="11" fillId="5" borderId="0" xfId="0" applyFont="1" applyFill="1"/>
    <xf numFmtId="0" fontId="2" fillId="5" borderId="0" xfId="0" applyFont="1" applyFill="1"/>
    <xf numFmtId="0" fontId="6" fillId="6" borderId="0" xfId="0" applyFont="1" applyFill="1"/>
    <xf numFmtId="0" fontId="0" fillId="6" borderId="0" xfId="0" applyFill="1"/>
    <xf numFmtId="2" fontId="5" fillId="6" borderId="0" xfId="0" quotePrefix="1" applyNumberFormat="1" applyFont="1" applyFill="1" applyAlignment="1">
      <alignment horizontal="left" vertical="center" wrapText="1"/>
    </xf>
    <xf numFmtId="0" fontId="15" fillId="6" borderId="0" xfId="0" applyFont="1" applyFill="1"/>
    <xf numFmtId="2" fontId="5" fillId="6" borderId="0" xfId="0" applyNumberFormat="1" applyFont="1" applyFill="1" applyAlignment="1">
      <alignment horizontal="left" vertical="center" wrapText="1"/>
    </xf>
    <xf numFmtId="0" fontId="11" fillId="6" borderId="0" xfId="0" applyFont="1" applyFill="1"/>
    <xf numFmtId="0" fontId="0" fillId="8" borderId="0" xfId="0" applyFill="1"/>
    <xf numFmtId="1" fontId="5" fillId="8" borderId="0" xfId="1" applyNumberFormat="1" applyFont="1" applyFill="1" applyBorder="1" applyAlignment="1">
      <alignment horizontal="left" vertical="top"/>
    </xf>
    <xf numFmtId="165" fontId="5" fillId="8" borderId="0" xfId="6" applyNumberFormat="1" applyFont="1" applyFill="1" applyBorder="1" applyAlignment="1">
      <alignment horizontal="left" vertical="top"/>
    </xf>
    <xf numFmtId="2" fontId="13" fillId="8" borderId="0" xfId="0" applyNumberFormat="1" applyFont="1" applyFill="1" applyAlignment="1">
      <alignment horizontal="left" vertical="center"/>
    </xf>
    <xf numFmtId="2" fontId="8" fillId="8" borderId="0" xfId="0" applyNumberFormat="1" applyFont="1" applyFill="1" applyAlignment="1">
      <alignment horizontal="left" vertical="center" wrapText="1"/>
    </xf>
    <xf numFmtId="0" fontId="17" fillId="8" borderId="0" xfId="0" applyFont="1" applyFill="1"/>
    <xf numFmtId="2" fontId="8" fillId="8" borderId="0" xfId="0" applyNumberFormat="1" applyFont="1" applyFill="1" applyAlignment="1">
      <alignment horizontal="left" vertical="center"/>
    </xf>
    <xf numFmtId="0" fontId="5" fillId="0" borderId="0" xfId="3" applyAlignment="1">
      <alignment horizontal="right" vertical="center" wrapText="1"/>
    </xf>
    <xf numFmtId="0" fontId="7" fillId="4" borderId="0" xfId="0" applyFont="1" applyFill="1"/>
    <xf numFmtId="0" fontId="17" fillId="4" borderId="0" xfId="0" applyFont="1" applyFill="1"/>
    <xf numFmtId="0" fontId="5" fillId="4" borderId="0" xfId="3" applyFill="1" applyAlignment="1">
      <alignment vertical="center" wrapText="1"/>
    </xf>
    <xf numFmtId="1" fontId="5" fillId="4" borderId="0" xfId="3" applyNumberFormat="1" applyFill="1" applyAlignment="1">
      <alignment vertical="center" wrapText="1"/>
    </xf>
    <xf numFmtId="0" fontId="19" fillId="3" borderId="0" xfId="3" applyFont="1" applyFill="1" applyAlignment="1">
      <alignment vertical="center"/>
    </xf>
    <xf numFmtId="0" fontId="5" fillId="3" borderId="0" xfId="3" applyFill="1" applyAlignment="1">
      <alignment vertical="center" wrapText="1"/>
    </xf>
    <xf numFmtId="0" fontId="20" fillId="3" borderId="0" xfId="0" applyFont="1" applyFill="1"/>
    <xf numFmtId="0" fontId="0" fillId="0" borderId="0" xfId="0" applyAlignment="1">
      <alignment horizontal="right"/>
    </xf>
    <xf numFmtId="1" fontId="5" fillId="0" borderId="0" xfId="25" applyNumberFormat="1" applyAlignment="1">
      <alignment horizontal="right"/>
    </xf>
    <xf numFmtId="0" fontId="4" fillId="0" borderId="0" xfId="3" applyFont="1" applyAlignment="1">
      <alignment horizontal="right" vertical="center" wrapText="1"/>
    </xf>
    <xf numFmtId="0" fontId="4" fillId="0" borderId="0" xfId="2" applyFont="1" applyFill="1" applyBorder="1" applyAlignment="1">
      <alignment horizontal="right"/>
    </xf>
    <xf numFmtId="0" fontId="8" fillId="3" borderId="0" xfId="3" applyFont="1" applyFill="1" applyAlignment="1">
      <alignment vertical="center"/>
    </xf>
    <xf numFmtId="0" fontId="19" fillId="9" borderId="0" xfId="3" applyFont="1" applyFill="1" applyAlignment="1">
      <alignment vertical="center"/>
    </xf>
    <xf numFmtId="0" fontId="0" fillId="9" borderId="0" xfId="0" applyFill="1"/>
    <xf numFmtId="0" fontId="8" fillId="9" borderId="0" xfId="3" applyFont="1" applyFill="1" applyAlignment="1">
      <alignment vertical="center"/>
    </xf>
    <xf numFmtId="168" fontId="21" fillId="0" borderId="0" xfId="4" applyNumberFormat="1" applyFont="1" applyAlignment="1">
      <alignment horizontal="right"/>
    </xf>
    <xf numFmtId="1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60" fillId="0" borderId="0" xfId="0" applyFont="1" applyAlignment="1">
      <alignment horizontal="right" vertical="center"/>
    </xf>
    <xf numFmtId="0" fontId="5" fillId="0" borderId="0" xfId="529" applyAlignment="1">
      <alignment horizontal="left" wrapText="1"/>
    </xf>
    <xf numFmtId="0" fontId="5" fillId="0" borderId="0" xfId="529"/>
    <xf numFmtId="0" fontId="0" fillId="0" borderId="0" xfId="0" applyAlignment="1">
      <alignment horizontal="left"/>
    </xf>
    <xf numFmtId="1" fontId="83" fillId="0" borderId="0" xfId="0" applyNumberFormat="1" applyFont="1"/>
    <xf numFmtId="3" fontId="83" fillId="0" borderId="0" xfId="0" applyNumberFormat="1" applyFont="1"/>
    <xf numFmtId="166" fontId="5" fillId="0" borderId="0" xfId="529" applyNumberFormat="1"/>
    <xf numFmtId="177" fontId="5" fillId="0" borderId="0" xfId="0" applyNumberFormat="1" applyFont="1"/>
    <xf numFmtId="166" fontId="83" fillId="0" borderId="0" xfId="0" applyNumberFormat="1" applyFont="1"/>
    <xf numFmtId="3" fontId="81" fillId="0" borderId="0" xfId="529" applyNumberFormat="1" applyFont="1"/>
    <xf numFmtId="177" fontId="81" fillId="0" borderId="0" xfId="0" applyNumberFormat="1" applyFont="1"/>
    <xf numFmtId="1" fontId="84" fillId="0" borderId="0" xfId="0" applyNumberFormat="1" applyFont="1"/>
    <xf numFmtId="0" fontId="83" fillId="0" borderId="0" xfId="0" applyFont="1"/>
    <xf numFmtId="0" fontId="88" fillId="0" borderId="0" xfId="0" applyFont="1"/>
    <xf numFmtId="0" fontId="3" fillId="0" borderId="0" xfId="0" applyFont="1" applyAlignment="1">
      <alignment wrapText="1"/>
    </xf>
    <xf numFmtId="0" fontId="41" fillId="0" borderId="0" xfId="529" applyFont="1"/>
    <xf numFmtId="0" fontId="91" fillId="0" borderId="0" xfId="529" applyFont="1"/>
    <xf numFmtId="3" fontId="83" fillId="0" borderId="0" xfId="0" applyNumberFormat="1" applyFont="1" applyAlignment="1">
      <alignment horizontal="right"/>
    </xf>
    <xf numFmtId="3" fontId="9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1" applyNumberFormat="1" applyFont="1" applyFill="1" applyBorder="1" applyAlignment="1">
      <alignment horizontal="left" vertical="top"/>
    </xf>
    <xf numFmtId="165" fontId="5" fillId="0" borderId="0" xfId="6" applyNumberFormat="1" applyFont="1" applyFill="1" applyBorder="1" applyAlignment="1">
      <alignment horizontal="left" vertical="top"/>
    </xf>
    <xf numFmtId="1" fontId="10" fillId="0" borderId="0" xfId="1" applyNumberFormat="1" applyFont="1" applyFill="1" applyBorder="1" applyAlignment="1">
      <alignment horizontal="left" vertical="top"/>
    </xf>
    <xf numFmtId="3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3" applyAlignment="1">
      <alignment horizontal="left"/>
    </xf>
    <xf numFmtId="0" fontId="5" fillId="0" borderId="0" xfId="3" applyAlignment="1">
      <alignment horizontal="left" vertical="center" wrapText="1"/>
    </xf>
    <xf numFmtId="3" fontId="10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3" fontId="4" fillId="0" borderId="0" xfId="188" applyNumberFormat="1" applyFont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left" vertical="top"/>
    </xf>
    <xf numFmtId="165" fontId="5" fillId="0" borderId="0" xfId="6" applyNumberFormat="1" applyFont="1" applyFill="1" applyBorder="1" applyAlignment="1">
      <alignment horizontal="left" vertical="center" wrapText="1"/>
    </xf>
    <xf numFmtId="166" fontId="10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4" fillId="0" borderId="0" xfId="876" applyFont="1"/>
    <xf numFmtId="1" fontId="10" fillId="0" borderId="0" xfId="0" applyNumberFormat="1" applyFont="1" applyAlignment="1">
      <alignment horizontal="left"/>
    </xf>
    <xf numFmtId="1" fontId="3" fillId="0" borderId="0" xfId="0" applyNumberFormat="1" applyFont="1"/>
    <xf numFmtId="2" fontId="10" fillId="0" borderId="0" xfId="0" applyNumberFormat="1" applyFont="1" applyAlignment="1">
      <alignment horizontal="left"/>
    </xf>
    <xf numFmtId="0" fontId="5" fillId="0" borderId="0" xfId="3" applyAlignment="1">
      <alignment horizontal="left" vertical="top"/>
    </xf>
    <xf numFmtId="164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3" fontId="10" fillId="0" borderId="0" xfId="0" applyNumberFormat="1" applyFont="1" applyAlignment="1">
      <alignment horizontal="left" vertical="top"/>
    </xf>
    <xf numFmtId="0" fontId="5" fillId="0" borderId="0" xfId="3" applyAlignment="1">
      <alignment horizontal="left" wrapText="1"/>
    </xf>
    <xf numFmtId="1" fontId="5" fillId="0" borderId="0" xfId="3" applyNumberFormat="1" applyAlignment="1">
      <alignment horizontal="left" vertical="center" wrapText="1"/>
    </xf>
    <xf numFmtId="0" fontId="18" fillId="0" borderId="0" xfId="3" applyFont="1" applyAlignment="1">
      <alignment horizontal="left" wrapText="1"/>
    </xf>
    <xf numFmtId="0" fontId="5" fillId="0" borderId="0" xfId="38" applyFont="1" applyAlignment="1">
      <alignment horizontal="left"/>
    </xf>
    <xf numFmtId="0" fontId="5" fillId="0" borderId="0" xfId="38" applyFont="1" applyAlignment="1">
      <alignment horizontal="left" wrapText="1"/>
    </xf>
    <xf numFmtId="3" fontId="5" fillId="0" borderId="0" xfId="38" applyNumberFormat="1" applyFont="1" applyAlignment="1">
      <alignment horizontal="left" wrapText="1"/>
    </xf>
    <xf numFmtId="169" fontId="5" fillId="0" borderId="0" xfId="38" applyNumberFormat="1" applyFont="1" applyAlignment="1">
      <alignment horizontal="left"/>
    </xf>
    <xf numFmtId="0" fontId="5" fillId="0" borderId="0" xfId="307" applyFont="1" applyAlignment="1">
      <alignment horizontal="left"/>
    </xf>
    <xf numFmtId="0" fontId="5" fillId="0" borderId="0" xfId="307" applyFont="1" applyAlignment="1">
      <alignment horizontal="left" wrapText="1"/>
    </xf>
    <xf numFmtId="3" fontId="5" fillId="0" borderId="0" xfId="307" applyNumberFormat="1" applyFont="1" applyAlignment="1">
      <alignment horizontal="left" wrapText="1"/>
    </xf>
    <xf numFmtId="169" fontId="5" fillId="0" borderId="0" xfId="307" applyNumberFormat="1" applyFont="1" applyAlignment="1">
      <alignment horizontal="left"/>
    </xf>
    <xf numFmtId="3" fontId="5" fillId="0" borderId="0" xfId="0" applyNumberFormat="1" applyFont="1" applyAlignment="1">
      <alignment horizontal="left" wrapText="1"/>
    </xf>
    <xf numFmtId="1" fontId="5" fillId="0" borderId="0" xfId="3" applyNumberFormat="1" applyAlignment="1">
      <alignment horizontal="left"/>
    </xf>
    <xf numFmtId="169" fontId="10" fillId="0" borderId="0" xfId="0" applyNumberFormat="1" applyFont="1" applyAlignment="1">
      <alignment horizontal="left"/>
    </xf>
    <xf numFmtId="169" fontId="5" fillId="0" borderId="0" xfId="0" applyNumberFormat="1" applyFont="1" applyAlignment="1">
      <alignment horizontal="left"/>
    </xf>
    <xf numFmtId="3" fontId="5" fillId="0" borderId="0" xfId="625" applyNumberFormat="1" applyFont="1" applyAlignment="1">
      <alignment horizontal="left"/>
    </xf>
    <xf numFmtId="0" fontId="5" fillId="0" borderId="0" xfId="625" applyFont="1" applyAlignment="1">
      <alignment horizontal="left"/>
    </xf>
    <xf numFmtId="169" fontId="5" fillId="0" borderId="0" xfId="625" applyNumberFormat="1" applyFont="1" applyAlignment="1">
      <alignment horizontal="left"/>
    </xf>
    <xf numFmtId="3" fontId="5" fillId="0" borderId="0" xfId="307" applyNumberFormat="1" applyFont="1" applyAlignment="1">
      <alignment horizontal="left"/>
    </xf>
    <xf numFmtId="6" fontId="5" fillId="0" borderId="0" xfId="307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81" fillId="0" borderId="0" xfId="3" applyNumberFormat="1" applyFont="1" applyAlignment="1">
      <alignment horizontal="left"/>
    </xf>
    <xf numFmtId="0" fontId="81" fillId="0" borderId="0" xfId="3" applyFont="1" applyAlignment="1">
      <alignment horizontal="left"/>
    </xf>
    <xf numFmtId="3" fontId="5" fillId="0" borderId="0" xfId="3" applyNumberFormat="1" applyAlignment="1">
      <alignment horizontal="left"/>
    </xf>
    <xf numFmtId="0" fontId="5" fillId="0" borderId="0" xfId="0" applyFont="1" applyAlignment="1">
      <alignment horizontal="left" vertical="center"/>
    </xf>
    <xf numFmtId="3" fontId="0" fillId="0" borderId="0" xfId="0" applyNumberFormat="1"/>
    <xf numFmtId="166" fontId="0" fillId="0" borderId="0" xfId="0" applyNumberFormat="1"/>
    <xf numFmtId="14" fontId="3" fillId="0" borderId="0" xfId="0" applyNumberFormat="1" applyFont="1"/>
    <xf numFmtId="1" fontId="2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94" fillId="0" borderId="0" xfId="876" applyFont="1" applyFill="1" applyBorder="1"/>
    <xf numFmtId="1" fontId="3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left" vertical="top"/>
    </xf>
    <xf numFmtId="3" fontId="5" fillId="0" borderId="0" xfId="26" applyNumberFormat="1" applyFont="1" applyFill="1" applyAlignment="1" applyProtection="1">
      <alignment horizontal="left"/>
    </xf>
    <xf numFmtId="3" fontId="5" fillId="0" borderId="0" xfId="26" quotePrefix="1" applyNumberFormat="1" applyFont="1" applyFill="1" applyAlignment="1" applyProtection="1">
      <alignment horizontal="left"/>
    </xf>
    <xf numFmtId="178" fontId="5" fillId="0" borderId="0" xfId="0" applyNumberFormat="1" applyFont="1" applyAlignment="1">
      <alignment horizontal="left"/>
    </xf>
    <xf numFmtId="3" fontId="5" fillId="0" borderId="0" xfId="3" applyNumberFormat="1"/>
    <xf numFmtId="0" fontId="95" fillId="0" borderId="0" xfId="0" applyFont="1" applyAlignment="1">
      <alignment horizontal="left"/>
    </xf>
    <xf numFmtId="1" fontId="95" fillId="0" borderId="0" xfId="0" applyNumberFormat="1" applyFont="1" applyAlignment="1">
      <alignment horizontal="left"/>
    </xf>
    <xf numFmtId="0" fontId="32" fillId="0" borderId="0" xfId="8" applyFont="1" applyAlignment="1">
      <alignment horizontal="left"/>
    </xf>
    <xf numFmtId="1" fontId="32" fillId="0" borderId="0" xfId="8" applyNumberFormat="1" applyFont="1" applyAlignment="1">
      <alignment horizontal="left"/>
    </xf>
    <xf numFmtId="3" fontId="32" fillId="0" borderId="0" xfId="9" applyNumberFormat="1" applyFont="1" applyAlignment="1">
      <alignment horizontal="left"/>
    </xf>
    <xf numFmtId="1" fontId="32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1" fontId="81" fillId="0" borderId="0" xfId="529" applyNumberFormat="1" applyFont="1"/>
    <xf numFmtId="3" fontId="84" fillId="0" borderId="0" xfId="0" applyNumberFormat="1" applyFont="1"/>
    <xf numFmtId="179" fontId="0" fillId="0" borderId="0" xfId="0" applyNumberFormat="1"/>
    <xf numFmtId="1" fontId="81" fillId="0" borderId="0" xfId="0" applyNumberFormat="1" applyFont="1"/>
    <xf numFmtId="177" fontId="96" fillId="0" borderId="0" xfId="0" applyNumberFormat="1" applyFont="1"/>
    <xf numFmtId="177" fontId="96" fillId="47" borderId="0" xfId="0" applyNumberFormat="1" applyFont="1" applyFill="1"/>
    <xf numFmtId="177" fontId="5" fillId="47" borderId="0" xfId="0" applyNumberFormat="1" applyFont="1" applyFill="1"/>
    <xf numFmtId="0" fontId="2" fillId="0" borderId="0" xfId="0" applyFont="1"/>
    <xf numFmtId="0" fontId="97" fillId="0" borderId="0" xfId="0" applyFont="1"/>
    <xf numFmtId="0" fontId="0" fillId="47" borderId="0" xfId="0" applyFill="1"/>
    <xf numFmtId="0" fontId="98" fillId="0" borderId="0" xfId="0" applyFont="1" applyAlignment="1">
      <alignment vertical="center"/>
    </xf>
    <xf numFmtId="0" fontId="5" fillId="0" borderId="0" xfId="5" applyAlignment="1">
      <alignment horizontal="right"/>
    </xf>
    <xf numFmtId="3" fontId="10" fillId="0" borderId="0" xfId="0" applyNumberFormat="1" applyFont="1" applyAlignment="1">
      <alignment horizontal="right"/>
    </xf>
    <xf numFmtId="3" fontId="10" fillId="0" borderId="0" xfId="0" applyNumberFormat="1" applyFont="1"/>
    <xf numFmtId="164" fontId="10" fillId="0" borderId="0" xfId="0" applyNumberFormat="1" applyFont="1" applyAlignment="1">
      <alignment horizontal="left"/>
    </xf>
    <xf numFmtId="165" fontId="5" fillId="0" borderId="0" xfId="6" applyNumberFormat="1" applyFont="1" applyFill="1" applyBorder="1" applyAlignment="1">
      <alignment horizontal="left"/>
    </xf>
    <xf numFmtId="0" fontId="5" fillId="0" borderId="0" xfId="6" applyNumberFormat="1" applyFont="1" applyFill="1" applyBorder="1" applyAlignment="1">
      <alignment horizontal="left"/>
    </xf>
    <xf numFmtId="164" fontId="5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2" fontId="32" fillId="0" borderId="0" xfId="0" quotePrefix="1" applyNumberFormat="1" applyFont="1" applyAlignment="1">
      <alignment horizontal="left" wrapText="1"/>
    </xf>
    <xf numFmtId="2" fontId="32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/>
    </xf>
    <xf numFmtId="2" fontId="32" fillId="0" borderId="0" xfId="0" quotePrefix="1" applyNumberFormat="1" applyFont="1" applyAlignment="1">
      <alignment horizontal="left" vertical="center" wrapText="1"/>
    </xf>
    <xf numFmtId="2" fontId="32" fillId="0" borderId="0" xfId="0" applyNumberFormat="1" applyFont="1" applyAlignment="1">
      <alignment horizontal="left" vertical="center" wrapText="1"/>
    </xf>
    <xf numFmtId="2" fontId="95" fillId="0" borderId="0" xfId="0" applyNumberFormat="1" applyFont="1" applyAlignment="1">
      <alignment horizontal="left"/>
    </xf>
    <xf numFmtId="2" fontId="32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2" fontId="5" fillId="0" borderId="0" xfId="0" quotePrefix="1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/>
    <xf numFmtId="3" fontId="81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2" fontId="32" fillId="0" borderId="0" xfId="0" applyNumberFormat="1" applyFont="1" applyAlignment="1">
      <alignment horizontal="center" wrapText="1"/>
    </xf>
    <xf numFmtId="2" fontId="32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left" vertical="top"/>
    </xf>
    <xf numFmtId="0" fontId="0" fillId="46" borderId="0" xfId="0" applyFill="1" applyAlignment="1">
      <alignment wrapText="1"/>
    </xf>
    <xf numFmtId="0" fontId="5" fillId="0" borderId="0" xfId="307" applyFont="1" applyAlignment="1">
      <alignment horizontal="left" wrapText="1"/>
    </xf>
    <xf numFmtId="0" fontId="5" fillId="0" borderId="0" xfId="307" applyFont="1" applyAlignment="1">
      <alignment horizontal="left"/>
    </xf>
  </cellXfs>
  <cellStyles count="897">
    <cellStyle name="20% - Accent1" xfId="346" builtinId="30" customBuiltin="1"/>
    <cellStyle name="20% - Accent1 2" xfId="393" xr:uid="{00000000-0005-0000-0000-000001000000}"/>
    <cellStyle name="20% - Accent1 3" xfId="563" xr:uid="{00000000-0005-0000-0000-000022020000}"/>
    <cellStyle name="20% - Accent1 4" xfId="643" xr:uid="{00000000-0005-0000-0000-000079020000}"/>
    <cellStyle name="20% - Accent1 5" xfId="728" xr:uid="{00000000-0005-0000-0000-0000B7020000}"/>
    <cellStyle name="20% - Accent1 6" xfId="753" xr:uid="{00000000-0005-0000-0000-0000E3020000}"/>
    <cellStyle name="20% - Accent2" xfId="350" builtinId="34" customBuiltin="1"/>
    <cellStyle name="20% - Accent2 2" xfId="397" xr:uid="{00000000-0005-0000-0000-000003000000}"/>
    <cellStyle name="20% - Accent2 3" xfId="567" xr:uid="{00000000-0005-0000-0000-000023020000}"/>
    <cellStyle name="20% - Accent2 4" xfId="647" xr:uid="{00000000-0005-0000-0000-00007A020000}"/>
    <cellStyle name="20% - Accent2 5" xfId="698" xr:uid="{00000000-0005-0000-0000-0000B8020000}"/>
    <cellStyle name="20% - Accent2 6" xfId="757" xr:uid="{00000000-0005-0000-0000-0000E4020000}"/>
    <cellStyle name="20% - Accent3" xfId="354" builtinId="38" customBuiltin="1"/>
    <cellStyle name="20% - Accent3 2" xfId="398" xr:uid="{00000000-0005-0000-0000-000005000000}"/>
    <cellStyle name="20% - Accent3 3" xfId="571" xr:uid="{00000000-0005-0000-0000-000024020000}"/>
    <cellStyle name="20% - Accent3 4" xfId="651" xr:uid="{00000000-0005-0000-0000-00007B020000}"/>
    <cellStyle name="20% - Accent3 5" xfId="715" xr:uid="{00000000-0005-0000-0000-0000B9020000}"/>
    <cellStyle name="20% - Accent3 6" xfId="761" xr:uid="{00000000-0005-0000-0000-0000E5020000}"/>
    <cellStyle name="20% - Accent4" xfId="358" builtinId="42" customBuiltin="1"/>
    <cellStyle name="20% - Accent4 2" xfId="399" xr:uid="{00000000-0005-0000-0000-000007000000}"/>
    <cellStyle name="20% - Accent4 3" xfId="575" xr:uid="{00000000-0005-0000-0000-000025020000}"/>
    <cellStyle name="20% - Accent4 4" xfId="655" xr:uid="{00000000-0005-0000-0000-00007C020000}"/>
    <cellStyle name="20% - Accent4 5" xfId="705" xr:uid="{00000000-0005-0000-0000-0000BA020000}"/>
    <cellStyle name="20% - Accent4 6" xfId="765" xr:uid="{00000000-0005-0000-0000-0000E6020000}"/>
    <cellStyle name="20% - Accent5" xfId="362" builtinId="46" customBuiltin="1"/>
    <cellStyle name="20% - Accent5 2" xfId="400" xr:uid="{00000000-0005-0000-0000-000009000000}"/>
    <cellStyle name="20% - Accent5 3" xfId="579" xr:uid="{00000000-0005-0000-0000-000026020000}"/>
    <cellStyle name="20% - Accent5 4" xfId="659" xr:uid="{00000000-0005-0000-0000-00007D020000}"/>
    <cellStyle name="20% - Accent5 5" xfId="724" xr:uid="{00000000-0005-0000-0000-0000BB020000}"/>
    <cellStyle name="20% - Accent5 6" xfId="769" xr:uid="{00000000-0005-0000-0000-0000E7020000}"/>
    <cellStyle name="20% - Accent6" xfId="366" builtinId="50" customBuiltin="1"/>
    <cellStyle name="20% - Accent6 2" xfId="401" xr:uid="{00000000-0005-0000-0000-00000B000000}"/>
    <cellStyle name="20% - Accent6 3" xfId="583" xr:uid="{00000000-0005-0000-0000-000027020000}"/>
    <cellStyle name="20% - Accent6 4" xfId="663" xr:uid="{00000000-0005-0000-0000-00007E020000}"/>
    <cellStyle name="20% - Accent6 5" xfId="695" xr:uid="{00000000-0005-0000-0000-0000BC020000}"/>
    <cellStyle name="20% - Accent6 6" xfId="773" xr:uid="{00000000-0005-0000-0000-0000E8020000}"/>
    <cellStyle name="40% - Accent1" xfId="347" builtinId="31" customBuiltin="1"/>
    <cellStyle name="40% - Accent1 2" xfId="402" xr:uid="{00000000-0005-0000-0000-00000D000000}"/>
    <cellStyle name="40% - Accent1 3" xfId="564" xr:uid="{00000000-0005-0000-0000-000028020000}"/>
    <cellStyle name="40% - Accent1 4" xfId="644" xr:uid="{00000000-0005-0000-0000-00007F020000}"/>
    <cellStyle name="40% - Accent1 5" xfId="701" xr:uid="{00000000-0005-0000-0000-0000BD020000}"/>
    <cellStyle name="40% - Accent1 6" xfId="754" xr:uid="{00000000-0005-0000-0000-0000E9020000}"/>
    <cellStyle name="40% - Accent2" xfId="351" builtinId="35" customBuiltin="1"/>
    <cellStyle name="40% - Accent2 2" xfId="403" xr:uid="{00000000-0005-0000-0000-00000F000000}"/>
    <cellStyle name="40% - Accent2 3" xfId="568" xr:uid="{00000000-0005-0000-0000-000029020000}"/>
    <cellStyle name="40% - Accent2 4" xfId="648" xr:uid="{00000000-0005-0000-0000-000080020000}"/>
    <cellStyle name="40% - Accent2 5" xfId="712" xr:uid="{00000000-0005-0000-0000-0000BE020000}"/>
    <cellStyle name="40% - Accent2 6" xfId="758" xr:uid="{00000000-0005-0000-0000-0000EA020000}"/>
    <cellStyle name="40% - Accent3" xfId="355" builtinId="39" customBuiltin="1"/>
    <cellStyle name="40% - Accent3 2" xfId="404" xr:uid="{00000000-0005-0000-0000-000011000000}"/>
    <cellStyle name="40% - Accent3 3" xfId="572" xr:uid="{00000000-0005-0000-0000-00002A020000}"/>
    <cellStyle name="40% - Accent3 4" xfId="652" xr:uid="{00000000-0005-0000-0000-000081020000}"/>
    <cellStyle name="40% - Accent3 5" xfId="714" xr:uid="{00000000-0005-0000-0000-0000BF020000}"/>
    <cellStyle name="40% - Accent3 6" xfId="762" xr:uid="{00000000-0005-0000-0000-0000EB020000}"/>
    <cellStyle name="40% - Accent4" xfId="359" builtinId="43" customBuiltin="1"/>
    <cellStyle name="40% - Accent4 2" xfId="405" xr:uid="{00000000-0005-0000-0000-000013000000}"/>
    <cellStyle name="40% - Accent4 3" xfId="576" xr:uid="{00000000-0005-0000-0000-00002B020000}"/>
    <cellStyle name="40% - Accent4 4" xfId="656" xr:uid="{00000000-0005-0000-0000-000082020000}"/>
    <cellStyle name="40% - Accent4 5" xfId="713" xr:uid="{00000000-0005-0000-0000-0000C0020000}"/>
    <cellStyle name="40% - Accent4 6" xfId="766" xr:uid="{00000000-0005-0000-0000-0000EC020000}"/>
    <cellStyle name="40% - Accent5" xfId="363" builtinId="47" customBuiltin="1"/>
    <cellStyle name="40% - Accent5 2" xfId="406" xr:uid="{00000000-0005-0000-0000-000015000000}"/>
    <cellStyle name="40% - Accent5 3" xfId="580" xr:uid="{00000000-0005-0000-0000-00002C020000}"/>
    <cellStyle name="40% - Accent5 4" xfId="660" xr:uid="{00000000-0005-0000-0000-000083020000}"/>
    <cellStyle name="40% - Accent5 5" xfId="697" xr:uid="{00000000-0005-0000-0000-0000C1020000}"/>
    <cellStyle name="40% - Accent5 6" xfId="770" xr:uid="{00000000-0005-0000-0000-0000ED020000}"/>
    <cellStyle name="40% - Accent6" xfId="367" builtinId="51" customBuiltin="1"/>
    <cellStyle name="40% - Accent6 2" xfId="407" xr:uid="{00000000-0005-0000-0000-000017000000}"/>
    <cellStyle name="40% - Accent6 3" xfId="584" xr:uid="{00000000-0005-0000-0000-00002D020000}"/>
    <cellStyle name="40% - Accent6 4" xfId="664" xr:uid="{00000000-0005-0000-0000-000084020000}"/>
    <cellStyle name="40% - Accent6 5" xfId="718" xr:uid="{00000000-0005-0000-0000-0000C2020000}"/>
    <cellStyle name="40% - Accent6 6" xfId="774" xr:uid="{00000000-0005-0000-0000-0000EE020000}"/>
    <cellStyle name="60% - Accent1" xfId="348" builtinId="32" customBuiltin="1"/>
    <cellStyle name="60% - Accent1 2" xfId="565" xr:uid="{00000000-0005-0000-0000-00002E020000}"/>
    <cellStyle name="60% - Accent1 3" xfId="645" xr:uid="{00000000-0005-0000-0000-000085020000}"/>
    <cellStyle name="60% - Accent1 4" xfId="716" xr:uid="{00000000-0005-0000-0000-0000C3020000}"/>
    <cellStyle name="60% - Accent1 5" xfId="755" xr:uid="{00000000-0005-0000-0000-0000EF020000}"/>
    <cellStyle name="60% - Accent1 6" xfId="883" xr:uid="{DF14E447-7BA6-4D19-8809-8DCEDD253236}"/>
    <cellStyle name="60% - Accent2" xfId="352" builtinId="36" customBuiltin="1"/>
    <cellStyle name="60% - Accent2 2" xfId="569" xr:uid="{00000000-0005-0000-0000-00002F020000}"/>
    <cellStyle name="60% - Accent2 3" xfId="649" xr:uid="{00000000-0005-0000-0000-000086020000}"/>
    <cellStyle name="60% - Accent2 4" xfId="668" xr:uid="{00000000-0005-0000-0000-0000C4020000}"/>
    <cellStyle name="60% - Accent2 5" xfId="759" xr:uid="{00000000-0005-0000-0000-0000F0020000}"/>
    <cellStyle name="60% - Accent2 6" xfId="884" xr:uid="{C0D4263E-499A-4951-A022-0BDBBCAA4213}"/>
    <cellStyle name="60% - Accent3" xfId="356" builtinId="40" customBuiltin="1"/>
    <cellStyle name="60% - Accent3 2" xfId="573" xr:uid="{00000000-0005-0000-0000-000030020000}"/>
    <cellStyle name="60% - Accent3 3" xfId="653" xr:uid="{00000000-0005-0000-0000-000087020000}"/>
    <cellStyle name="60% - Accent3 4" xfId="730" xr:uid="{00000000-0005-0000-0000-0000C5020000}"/>
    <cellStyle name="60% - Accent3 5" xfId="763" xr:uid="{00000000-0005-0000-0000-0000F1020000}"/>
    <cellStyle name="60% - Accent3 6" xfId="885" xr:uid="{555780AA-6C65-4657-9DCC-F9555BAEA2D7}"/>
    <cellStyle name="60% - Accent4" xfId="360" builtinId="44" customBuiltin="1"/>
    <cellStyle name="60% - Accent4 2" xfId="577" xr:uid="{00000000-0005-0000-0000-000031020000}"/>
    <cellStyle name="60% - Accent4 3" xfId="657" xr:uid="{00000000-0005-0000-0000-000088020000}"/>
    <cellStyle name="60% - Accent4 4" xfId="673" xr:uid="{00000000-0005-0000-0000-0000C6020000}"/>
    <cellStyle name="60% - Accent4 5" xfId="767" xr:uid="{00000000-0005-0000-0000-0000F2020000}"/>
    <cellStyle name="60% - Accent4 6" xfId="886" xr:uid="{6851B18B-2CC5-45D1-BEAB-DF594CD5EC2C}"/>
    <cellStyle name="60% - Accent5" xfId="364" builtinId="48" customBuiltin="1"/>
    <cellStyle name="60% - Accent5 2" xfId="581" xr:uid="{00000000-0005-0000-0000-000032020000}"/>
    <cellStyle name="60% - Accent5 3" xfId="661" xr:uid="{00000000-0005-0000-0000-000089020000}"/>
    <cellStyle name="60% - Accent5 4" xfId="726" xr:uid="{00000000-0005-0000-0000-0000C7020000}"/>
    <cellStyle name="60% - Accent5 5" xfId="771" xr:uid="{00000000-0005-0000-0000-0000F3020000}"/>
    <cellStyle name="60% - Accent5 6" xfId="887" xr:uid="{F0B48C79-4C6D-4B00-97CE-59B946FB8350}"/>
    <cellStyle name="60% - Accent6" xfId="368" builtinId="52" customBuiltin="1"/>
    <cellStyle name="60% - Accent6 2" xfId="585" xr:uid="{00000000-0005-0000-0000-000033020000}"/>
    <cellStyle name="60% - Accent6 3" xfId="665" xr:uid="{00000000-0005-0000-0000-00008A020000}"/>
    <cellStyle name="60% - Accent6 4" xfId="676" xr:uid="{00000000-0005-0000-0000-0000C8020000}"/>
    <cellStyle name="60% - Accent6 5" xfId="775" xr:uid="{00000000-0005-0000-0000-0000F4020000}"/>
    <cellStyle name="60% - Accent6 6" xfId="888" xr:uid="{3B2BCA09-8A22-487E-B7B2-1FA941F46C2F}"/>
    <cellStyle name="Accent1" xfId="345" builtinId="29" customBuiltin="1"/>
    <cellStyle name="Accent1 2" xfId="562" xr:uid="{00000000-0005-0000-0000-000034020000}"/>
    <cellStyle name="Accent1 3" xfId="642" xr:uid="{00000000-0005-0000-0000-00008B020000}"/>
    <cellStyle name="Accent1 4" xfId="694" xr:uid="{00000000-0005-0000-0000-0000C9020000}"/>
    <cellStyle name="Accent1 5" xfId="752" xr:uid="{00000000-0005-0000-0000-0000F5020000}"/>
    <cellStyle name="Accent2" xfId="349" builtinId="33" customBuiltin="1"/>
    <cellStyle name="Accent2 2" xfId="566" xr:uid="{00000000-0005-0000-0000-000035020000}"/>
    <cellStyle name="Accent2 3" xfId="646" xr:uid="{00000000-0005-0000-0000-00008C020000}"/>
    <cellStyle name="Accent2 4" xfId="667" xr:uid="{00000000-0005-0000-0000-0000CA020000}"/>
    <cellStyle name="Accent2 5" xfId="756" xr:uid="{00000000-0005-0000-0000-0000F6020000}"/>
    <cellStyle name="Accent3" xfId="353" builtinId="37" customBuiltin="1"/>
    <cellStyle name="Accent3 2" xfId="570" xr:uid="{00000000-0005-0000-0000-000036020000}"/>
    <cellStyle name="Accent3 3" xfId="650" xr:uid="{00000000-0005-0000-0000-00008D020000}"/>
    <cellStyle name="Accent3 4" xfId="700" xr:uid="{00000000-0005-0000-0000-0000CB020000}"/>
    <cellStyle name="Accent3 5" xfId="760" xr:uid="{00000000-0005-0000-0000-0000F7020000}"/>
    <cellStyle name="Accent4" xfId="357" builtinId="41" customBuiltin="1"/>
    <cellStyle name="Accent4 2" xfId="574" xr:uid="{00000000-0005-0000-0000-000037020000}"/>
    <cellStyle name="Accent4 3" xfId="654" xr:uid="{00000000-0005-0000-0000-00008E020000}"/>
    <cellStyle name="Accent4 4" xfId="699" xr:uid="{00000000-0005-0000-0000-0000CC020000}"/>
    <cellStyle name="Accent4 5" xfId="764" xr:uid="{00000000-0005-0000-0000-0000F8020000}"/>
    <cellStyle name="Accent5" xfId="361" builtinId="45" customBuiltin="1"/>
    <cellStyle name="Accent5 2" xfId="578" xr:uid="{00000000-0005-0000-0000-000038020000}"/>
    <cellStyle name="Accent5 3" xfId="658" xr:uid="{00000000-0005-0000-0000-00008F020000}"/>
    <cellStyle name="Accent5 4" xfId="711" xr:uid="{00000000-0005-0000-0000-0000CD020000}"/>
    <cellStyle name="Accent5 5" xfId="768" xr:uid="{00000000-0005-0000-0000-0000F9020000}"/>
    <cellStyle name="Accent6" xfId="365" builtinId="49" customBuiltin="1"/>
    <cellStyle name="Accent6 2" xfId="582" xr:uid="{00000000-0005-0000-0000-000039020000}"/>
    <cellStyle name="Accent6 3" xfId="662" xr:uid="{00000000-0005-0000-0000-000090020000}"/>
    <cellStyle name="Accent6 4" xfId="731" xr:uid="{00000000-0005-0000-0000-0000CE020000}"/>
    <cellStyle name="Accent6 5" xfId="772" xr:uid="{00000000-0005-0000-0000-0000FA020000}"/>
    <cellStyle name="active" xfId="60" xr:uid="{00000000-0005-0000-0000-000024000000}"/>
    <cellStyle name="Bad" xfId="334" builtinId="27" customBuiltin="1"/>
    <cellStyle name="Bad 2" xfId="551" xr:uid="{00000000-0005-0000-0000-00003A020000}"/>
    <cellStyle name="Bad 3" xfId="631" xr:uid="{00000000-0005-0000-0000-000091020000}"/>
    <cellStyle name="Bad 4" xfId="709" xr:uid="{00000000-0005-0000-0000-0000CF020000}"/>
    <cellStyle name="Bad 5" xfId="741" xr:uid="{00000000-0005-0000-0000-0000FB020000}"/>
    <cellStyle name="C00A" xfId="63" xr:uid="{00000000-0005-0000-0000-000026000000}"/>
    <cellStyle name="C00B" xfId="62" xr:uid="{00000000-0005-0000-0000-000027000000}"/>
    <cellStyle name="C00L" xfId="61" xr:uid="{00000000-0005-0000-0000-000028000000}"/>
    <cellStyle name="C01A" xfId="65" xr:uid="{00000000-0005-0000-0000-000029000000}"/>
    <cellStyle name="C01B" xfId="66" xr:uid="{00000000-0005-0000-0000-00002A000000}"/>
    <cellStyle name="C01H" xfId="67" xr:uid="{00000000-0005-0000-0000-00002B000000}"/>
    <cellStyle name="C01L" xfId="68" xr:uid="{00000000-0005-0000-0000-00002C000000}"/>
    <cellStyle name="C02A" xfId="69" xr:uid="{00000000-0005-0000-0000-00002D000000}"/>
    <cellStyle name="C02B" xfId="70" xr:uid="{00000000-0005-0000-0000-00002E000000}"/>
    <cellStyle name="C02H" xfId="71" xr:uid="{00000000-0005-0000-0000-00002F000000}"/>
    <cellStyle name="C02L" xfId="72" xr:uid="{00000000-0005-0000-0000-000030000000}"/>
    <cellStyle name="C03A" xfId="73" xr:uid="{00000000-0005-0000-0000-000031000000}"/>
    <cellStyle name="C03B" xfId="74" xr:uid="{00000000-0005-0000-0000-000032000000}"/>
    <cellStyle name="C03H" xfId="75" xr:uid="{00000000-0005-0000-0000-000033000000}"/>
    <cellStyle name="C03L" xfId="76" xr:uid="{00000000-0005-0000-0000-000034000000}"/>
    <cellStyle name="C04A" xfId="77" xr:uid="{00000000-0005-0000-0000-000035000000}"/>
    <cellStyle name="C04B" xfId="78" xr:uid="{00000000-0005-0000-0000-000036000000}"/>
    <cellStyle name="C04H" xfId="79" xr:uid="{00000000-0005-0000-0000-000037000000}"/>
    <cellStyle name="C04L" xfId="80" xr:uid="{00000000-0005-0000-0000-000038000000}"/>
    <cellStyle name="C05A" xfId="81" xr:uid="{00000000-0005-0000-0000-000039000000}"/>
    <cellStyle name="C05B" xfId="82" xr:uid="{00000000-0005-0000-0000-00003A000000}"/>
    <cellStyle name="C05H" xfId="83" xr:uid="{00000000-0005-0000-0000-00003B000000}"/>
    <cellStyle name="C05L" xfId="84" xr:uid="{00000000-0005-0000-0000-00003C000000}"/>
    <cellStyle name="C06A" xfId="85" xr:uid="{00000000-0005-0000-0000-00003D000000}"/>
    <cellStyle name="C06B" xfId="86" xr:uid="{00000000-0005-0000-0000-00003E000000}"/>
    <cellStyle name="C06H" xfId="87" xr:uid="{00000000-0005-0000-0000-00003F000000}"/>
    <cellStyle name="C06L" xfId="88" xr:uid="{00000000-0005-0000-0000-000040000000}"/>
    <cellStyle name="C07A" xfId="89" xr:uid="{00000000-0005-0000-0000-000041000000}"/>
    <cellStyle name="C07B" xfId="90" xr:uid="{00000000-0005-0000-0000-000042000000}"/>
    <cellStyle name="C07H" xfId="91" xr:uid="{00000000-0005-0000-0000-000043000000}"/>
    <cellStyle name="C07L" xfId="92" xr:uid="{00000000-0005-0000-0000-000044000000}"/>
    <cellStyle name="Calculation" xfId="338" builtinId="22" customBuiltin="1"/>
    <cellStyle name="Calculation 2" xfId="555" xr:uid="{00000000-0005-0000-0000-00003B020000}"/>
    <cellStyle name="Calculation 3" xfId="635" xr:uid="{00000000-0005-0000-0000-000092020000}"/>
    <cellStyle name="Calculation 4" xfId="708" xr:uid="{00000000-0005-0000-0000-0000D0020000}"/>
    <cellStyle name="Calculation 5" xfId="745" xr:uid="{00000000-0005-0000-0000-0000FC020000}"/>
    <cellStyle name="Check Cell" xfId="340" builtinId="23" customBuiltin="1"/>
    <cellStyle name="Check Cell 2" xfId="557" xr:uid="{00000000-0005-0000-0000-00003C020000}"/>
    <cellStyle name="Check Cell 3" xfId="637" xr:uid="{00000000-0005-0000-0000-000093020000}"/>
    <cellStyle name="Check Cell 4" xfId="669" xr:uid="{00000000-0005-0000-0000-0000D1020000}"/>
    <cellStyle name="Check Cell 5" xfId="747" xr:uid="{00000000-0005-0000-0000-0000FD020000}"/>
    <cellStyle name="Comma" xfId="1" builtinId="3"/>
    <cellStyle name="Comma 10" xfId="188" xr:uid="{00000000-0005-0000-0000-000048000000}"/>
    <cellStyle name="Comma 10 2" xfId="449" xr:uid="{00000000-0005-0000-0000-000049000000}"/>
    <cellStyle name="Comma 11" xfId="376" xr:uid="{00000000-0005-0000-0000-00004A000000}"/>
    <cellStyle name="Comma 11 2" xfId="587" xr:uid="{00000000-0005-0000-0000-00003D020000}"/>
    <cellStyle name="Comma 12" xfId="417" xr:uid="{00000000-0005-0000-0000-00004B000000}"/>
    <cellStyle name="Comma 13" xfId="534" xr:uid="{00000000-0005-0000-0000-00004C000000}"/>
    <cellStyle name="Comma 13 2" xfId="840" xr:uid="{00000000-0005-0000-0000-000036030000}"/>
    <cellStyle name="Comma 14" xfId="541" xr:uid="{00000000-0005-0000-0000-00003E020000}"/>
    <cellStyle name="Comma 15" xfId="616" xr:uid="{00000000-0005-0000-0000-00006A020000}"/>
    <cellStyle name="Comma 16" xfId="621" xr:uid="{00000000-0005-0000-0000-000094020000}"/>
    <cellStyle name="Comma 17" xfId="719" xr:uid="{00000000-0005-0000-0000-0000D2020000}"/>
    <cellStyle name="Comma 18" xfId="735" xr:uid="{00000000-0005-0000-0000-0000FE020000}"/>
    <cellStyle name="Comma 2" xfId="6" xr:uid="{00000000-0005-0000-0000-00004D000000}"/>
    <cellStyle name="Comma 2 2" xfId="26" xr:uid="{00000000-0005-0000-0000-00004E000000}"/>
    <cellStyle name="Comma 2 2 2" xfId="39" xr:uid="{00000000-0005-0000-0000-00004F000000}"/>
    <cellStyle name="Comma 2 3" xfId="93" xr:uid="{00000000-0005-0000-0000-000050000000}"/>
    <cellStyle name="Comma 2 4" xfId="423" xr:uid="{00000000-0005-0000-0000-000051000000}"/>
    <cellStyle name="Comma 2 5" xfId="682" xr:uid="{00000000-0005-0000-0000-00009E020000}"/>
    <cellStyle name="Comma 2 6" xfId="782" xr:uid="{00000000-0005-0000-0000-00000E030000}"/>
    <cellStyle name="Comma 2 7" xfId="800" xr:uid="{00000000-0005-0000-0000-00001F030000}"/>
    <cellStyle name="Comma 2 8" xfId="822" xr:uid="{00000000-0005-0000-0000-000037030000}"/>
    <cellStyle name="Comma 3" xfId="13" xr:uid="{00000000-0005-0000-0000-000052000000}"/>
    <cellStyle name="Comma 3 2" xfId="40" xr:uid="{00000000-0005-0000-0000-000053000000}"/>
    <cellStyle name="Comma 3 3" xfId="94" xr:uid="{00000000-0005-0000-0000-000054000000}"/>
    <cellStyle name="Comma 3 4" xfId="427" xr:uid="{00000000-0005-0000-0000-000055000000}"/>
    <cellStyle name="Comma 3 5" xfId="686" xr:uid="{00000000-0005-0000-0000-00009F020000}"/>
    <cellStyle name="Comma 3 6" xfId="786" xr:uid="{00000000-0005-0000-0000-00000F030000}"/>
    <cellStyle name="Comma 3 7" xfId="804" xr:uid="{00000000-0005-0000-0000-000020030000}"/>
    <cellStyle name="Comma 3 8" xfId="826" xr:uid="{00000000-0005-0000-0000-000038030000}"/>
    <cellStyle name="Comma 4" xfId="41" xr:uid="{00000000-0005-0000-0000-000056000000}"/>
    <cellStyle name="Comma 5" xfId="42" xr:uid="{00000000-0005-0000-0000-000057000000}"/>
    <cellStyle name="Comma 6" xfId="43" xr:uid="{00000000-0005-0000-0000-000058000000}"/>
    <cellStyle name="Comma 7" xfId="44" xr:uid="{00000000-0005-0000-0000-000059000000}"/>
    <cellStyle name="Comma 8" xfId="45" xr:uid="{00000000-0005-0000-0000-00005A000000}"/>
    <cellStyle name="Comma 8 2" xfId="46" xr:uid="{00000000-0005-0000-0000-00005B000000}"/>
    <cellStyle name="Comma 9" xfId="47" xr:uid="{00000000-0005-0000-0000-00005C000000}"/>
    <cellStyle name="Comma0" xfId="20" xr:uid="{00000000-0005-0000-0000-00005D000000}"/>
    <cellStyle name="Comma0 - Style1" xfId="17" xr:uid="{00000000-0005-0000-0000-00005E000000}"/>
    <cellStyle name="Comma0 - Style2" xfId="27" xr:uid="{00000000-0005-0000-0000-00005F000000}"/>
    <cellStyle name="Comma0 10" xfId="176" xr:uid="{00000000-0005-0000-0000-000060000000}"/>
    <cellStyle name="Comma0 11" xfId="168" xr:uid="{00000000-0005-0000-0000-000061000000}"/>
    <cellStyle name="Comma0 12" xfId="177" xr:uid="{00000000-0005-0000-0000-000062000000}"/>
    <cellStyle name="Comma0 13" xfId="270" xr:uid="{00000000-0005-0000-0000-000063000000}"/>
    <cellStyle name="Comma0 14" xfId="272" xr:uid="{00000000-0005-0000-0000-000064000000}"/>
    <cellStyle name="Comma0 15" xfId="269" xr:uid="{00000000-0005-0000-0000-000065000000}"/>
    <cellStyle name="Comma0 16" xfId="273" xr:uid="{00000000-0005-0000-0000-000066000000}"/>
    <cellStyle name="Comma0 17" xfId="268" xr:uid="{00000000-0005-0000-0000-000067000000}"/>
    <cellStyle name="Comma0 18" xfId="274" xr:uid="{00000000-0005-0000-0000-000068000000}"/>
    <cellStyle name="Comma0 19" xfId="267" xr:uid="{00000000-0005-0000-0000-000069000000}"/>
    <cellStyle name="Comma0 2" xfId="95" xr:uid="{00000000-0005-0000-0000-00006A000000}"/>
    <cellStyle name="Comma0 20" xfId="275" xr:uid="{00000000-0005-0000-0000-00006B000000}"/>
    <cellStyle name="Comma0 21" xfId="266" xr:uid="{00000000-0005-0000-0000-00006C000000}"/>
    <cellStyle name="Comma0 22" xfId="276" xr:uid="{00000000-0005-0000-0000-00006D000000}"/>
    <cellStyle name="Comma0 23" xfId="265" xr:uid="{00000000-0005-0000-0000-00006E000000}"/>
    <cellStyle name="Comma0 24" xfId="431" xr:uid="{00000000-0005-0000-0000-00006F000000}"/>
    <cellStyle name="Comma0 25" xfId="408" xr:uid="{00000000-0005-0000-0000-000070000000}"/>
    <cellStyle name="Comma0 26" xfId="485" xr:uid="{00000000-0005-0000-0000-000071000000}"/>
    <cellStyle name="Comma0 27" xfId="513" xr:uid="{00000000-0005-0000-0000-000072000000}"/>
    <cellStyle name="Comma0 28" xfId="499" xr:uid="{00000000-0005-0000-0000-000073000000}"/>
    <cellStyle name="Comma0 29" xfId="510" xr:uid="{00000000-0005-0000-0000-000074000000}"/>
    <cellStyle name="Comma0 3" xfId="172" xr:uid="{00000000-0005-0000-0000-000075000000}"/>
    <cellStyle name="Comma0 30" xfId="520" xr:uid="{00000000-0005-0000-0000-000076000000}"/>
    <cellStyle name="Comma0 31" xfId="689" xr:uid="{00000000-0005-0000-0000-0000A1020000}"/>
    <cellStyle name="Comma0 32" xfId="672" xr:uid="{00000000-0005-0000-0000-0000A0020000}"/>
    <cellStyle name="Comma0 33" xfId="675" xr:uid="{00000000-0005-0000-0000-0000AF020000}"/>
    <cellStyle name="Comma0 34" xfId="703" xr:uid="{00000000-0005-0000-0000-0000B1020000}"/>
    <cellStyle name="Comma0 35" xfId="789" xr:uid="{00000000-0005-0000-0000-000011030000}"/>
    <cellStyle name="Comma0 36" xfId="777" xr:uid="{00000000-0005-0000-0000-000010030000}"/>
    <cellStyle name="Comma0 37" xfId="807" xr:uid="{00000000-0005-0000-0000-000022030000}"/>
    <cellStyle name="Comma0 38" xfId="794" xr:uid="{00000000-0005-0000-0000-000021030000}"/>
    <cellStyle name="Comma0 39" xfId="811" xr:uid="{00000000-0005-0000-0000-000030030000}"/>
    <cellStyle name="Comma0 4" xfId="173" xr:uid="{00000000-0005-0000-0000-000077000000}"/>
    <cellStyle name="Comma0 40" xfId="812" xr:uid="{00000000-0005-0000-0000-000032030000}"/>
    <cellStyle name="Comma0 41" xfId="813" xr:uid="{00000000-0005-0000-0000-000034030000}"/>
    <cellStyle name="Comma0 42" xfId="829" xr:uid="{00000000-0005-0000-0000-00003A030000}"/>
    <cellStyle name="Comma0 43" xfId="817" xr:uid="{00000000-0005-0000-0000-000039030000}"/>
    <cellStyle name="Comma0 44" xfId="835" xr:uid="{00000000-0005-0000-0000-000068030000}"/>
    <cellStyle name="Comma0 45" xfId="846" xr:uid="{00000000-0005-0000-0000-00006A030000}"/>
    <cellStyle name="Comma0 5" xfId="171" xr:uid="{00000000-0005-0000-0000-000078000000}"/>
    <cellStyle name="Comma0 6" xfId="174" xr:uid="{00000000-0005-0000-0000-000079000000}"/>
    <cellStyle name="Comma0 7" xfId="170" xr:uid="{00000000-0005-0000-0000-00007A000000}"/>
    <cellStyle name="Comma0 8" xfId="175" xr:uid="{00000000-0005-0000-0000-00007B000000}"/>
    <cellStyle name="Comma0 9" xfId="169" xr:uid="{00000000-0005-0000-0000-00007C000000}"/>
    <cellStyle name="Curren - Style2" xfId="18" xr:uid="{00000000-0005-0000-0000-00007D000000}"/>
    <cellStyle name="Currency 2" xfId="12" xr:uid="{00000000-0005-0000-0000-00007E000000}"/>
    <cellStyle name="Currency0" xfId="21" xr:uid="{00000000-0005-0000-0000-00007F000000}"/>
    <cellStyle name="Currency0 2" xfId="96" xr:uid="{00000000-0005-0000-0000-000080000000}"/>
    <cellStyle name="Currency0 3" xfId="432" xr:uid="{00000000-0005-0000-0000-000081000000}"/>
    <cellStyle name="Currency0 4" xfId="511" xr:uid="{00000000-0005-0000-0000-000082000000}"/>
    <cellStyle name="Currency0 5" xfId="690" xr:uid="{00000000-0005-0000-0000-0000A2020000}"/>
    <cellStyle name="Currency0 6" xfId="790" xr:uid="{00000000-0005-0000-0000-000012030000}"/>
    <cellStyle name="Currency0 7" xfId="808" xr:uid="{00000000-0005-0000-0000-000023030000}"/>
    <cellStyle name="Currency0 8" xfId="830" xr:uid="{00000000-0005-0000-0000-00003B030000}"/>
    <cellStyle name="Date" xfId="22" xr:uid="{00000000-0005-0000-0000-000083000000}"/>
    <cellStyle name="Date 2" xfId="97" xr:uid="{00000000-0005-0000-0000-000084000000}"/>
    <cellStyle name="Date 3" xfId="433" xr:uid="{00000000-0005-0000-0000-000085000000}"/>
    <cellStyle name="Date 4" xfId="691" xr:uid="{00000000-0005-0000-0000-0000A3020000}"/>
    <cellStyle name="Date 5" xfId="791" xr:uid="{00000000-0005-0000-0000-000013030000}"/>
    <cellStyle name="Date 6" xfId="809" xr:uid="{00000000-0005-0000-0000-000024030000}"/>
    <cellStyle name="Date 7" xfId="831" xr:uid="{00000000-0005-0000-0000-00003C030000}"/>
    <cellStyle name="DOLLAR - Style5" xfId="28" xr:uid="{00000000-0005-0000-0000-000086000000}"/>
    <cellStyle name="DOLLAR - Style6" xfId="29" xr:uid="{00000000-0005-0000-0000-000087000000}"/>
    <cellStyle name="Euro" xfId="98" xr:uid="{00000000-0005-0000-0000-000088000000}"/>
    <cellStyle name="EXPENSE REPORT" xfId="99" xr:uid="{00000000-0005-0000-0000-000089000000}"/>
    <cellStyle name="Explanatory Text" xfId="343" builtinId="53" customBuiltin="1"/>
    <cellStyle name="Explanatory Text 2" xfId="560" xr:uid="{00000000-0005-0000-0000-00003F020000}"/>
    <cellStyle name="Explanatory Text 3" xfId="640" xr:uid="{00000000-0005-0000-0000-000095020000}"/>
    <cellStyle name="Explanatory Text 4" xfId="727" xr:uid="{00000000-0005-0000-0000-0000D3020000}"/>
    <cellStyle name="Explanatory Text 5" xfId="750" xr:uid="{00000000-0005-0000-0000-0000FF020000}"/>
    <cellStyle name="Fixed" xfId="23" xr:uid="{00000000-0005-0000-0000-00008B000000}"/>
    <cellStyle name="Fixed 2" xfId="100" xr:uid="{00000000-0005-0000-0000-00008C000000}"/>
    <cellStyle name="Fixed 3" xfId="434" xr:uid="{00000000-0005-0000-0000-00008D000000}"/>
    <cellStyle name="Fixed 4" xfId="692" xr:uid="{00000000-0005-0000-0000-0000A4020000}"/>
    <cellStyle name="Fixed 5" xfId="792" xr:uid="{00000000-0005-0000-0000-000014030000}"/>
    <cellStyle name="Fixed 6" xfId="810" xr:uid="{00000000-0005-0000-0000-000025030000}"/>
    <cellStyle name="Fixed 7" xfId="832" xr:uid="{00000000-0005-0000-0000-00003D030000}"/>
    <cellStyle name="Fixed1 - Style1" xfId="30" xr:uid="{00000000-0005-0000-0000-00008E000000}"/>
    <cellStyle name="Good" xfId="333" builtinId="26" customBuiltin="1"/>
    <cellStyle name="Good 2" xfId="550" xr:uid="{00000000-0005-0000-0000-000040020000}"/>
    <cellStyle name="Good 3" xfId="630" xr:uid="{00000000-0005-0000-0000-000096020000}"/>
    <cellStyle name="Good 4" xfId="721" xr:uid="{00000000-0005-0000-0000-0000D4020000}"/>
    <cellStyle name="Good 5" xfId="740" xr:uid="{00000000-0005-0000-0000-000000030000}"/>
    <cellStyle name="Grey" xfId="101" xr:uid="{00000000-0005-0000-0000-000090000000}"/>
    <cellStyle name="Header1" xfId="102" xr:uid="{00000000-0005-0000-0000-000091000000}"/>
    <cellStyle name="Header2" xfId="103" xr:uid="{00000000-0005-0000-0000-000092000000}"/>
    <cellStyle name="Heading" xfId="104" xr:uid="{00000000-0005-0000-0000-000093000000}"/>
    <cellStyle name="Heading 1" xfId="329" builtinId="16" customBuiltin="1"/>
    <cellStyle name="Heading 1 2" xfId="546" xr:uid="{00000000-0005-0000-0000-000041020000}"/>
    <cellStyle name="Heading 1 3" xfId="626" xr:uid="{00000000-0005-0000-0000-000097020000}"/>
    <cellStyle name="Heading 1 4" xfId="710" xr:uid="{00000000-0005-0000-0000-0000D5020000}"/>
    <cellStyle name="Heading 1 5" xfId="736" xr:uid="{00000000-0005-0000-0000-000001030000}"/>
    <cellStyle name="Heading 2" xfId="330" builtinId="17" customBuiltin="1"/>
    <cellStyle name="Heading 2 2" xfId="547" xr:uid="{00000000-0005-0000-0000-000042020000}"/>
    <cellStyle name="Heading 2 3" xfId="627" xr:uid="{00000000-0005-0000-0000-000098020000}"/>
    <cellStyle name="Heading 2 4" xfId="702" xr:uid="{00000000-0005-0000-0000-0000D6020000}"/>
    <cellStyle name="Heading 2 5" xfId="737" xr:uid="{00000000-0005-0000-0000-000002030000}"/>
    <cellStyle name="Heading 3" xfId="331" builtinId="18" customBuiltin="1"/>
    <cellStyle name="Heading 3 2" xfId="548" xr:uid="{00000000-0005-0000-0000-000043020000}"/>
    <cellStyle name="Heading 3 3" xfId="628" xr:uid="{00000000-0005-0000-0000-000099020000}"/>
    <cellStyle name="Heading 3 4" xfId="674" xr:uid="{00000000-0005-0000-0000-0000D7020000}"/>
    <cellStyle name="Heading 3 5" xfId="738" xr:uid="{00000000-0005-0000-0000-000003030000}"/>
    <cellStyle name="Heading 4" xfId="332" builtinId="19" customBuiltin="1"/>
    <cellStyle name="Heading 4 2" xfId="549" xr:uid="{00000000-0005-0000-0000-000044020000}"/>
    <cellStyle name="Heading 4 3" xfId="629" xr:uid="{00000000-0005-0000-0000-00009A020000}"/>
    <cellStyle name="Heading 4 4" xfId="671" xr:uid="{00000000-0005-0000-0000-0000D8020000}"/>
    <cellStyle name="Heading 4 5" xfId="739" xr:uid="{00000000-0005-0000-0000-000004030000}"/>
    <cellStyle name="Heading1" xfId="105" xr:uid="{00000000-0005-0000-0000-000098000000}"/>
    <cellStyle name="Hyperlink" xfId="876" builtinId="8"/>
    <cellStyle name="Hyperlink 2" xfId="11" xr:uid="{00000000-0005-0000-0000-000099000000}"/>
    <cellStyle name="Hyperlink 3" xfId="896" xr:uid="{0EC473F7-6142-4765-967B-0615AB988885}"/>
    <cellStyle name="Input" xfId="336" builtinId="20" customBuiltin="1"/>
    <cellStyle name="Input [yellow]" xfId="106" xr:uid="{00000000-0005-0000-0000-00009B000000}"/>
    <cellStyle name="Input 2" xfId="553" xr:uid="{00000000-0005-0000-0000-000045020000}"/>
    <cellStyle name="Input 3" xfId="633" xr:uid="{00000000-0005-0000-0000-00009B020000}"/>
    <cellStyle name="Input 4" xfId="670" xr:uid="{00000000-0005-0000-0000-0000D9020000}"/>
    <cellStyle name="Input 5" xfId="743" xr:uid="{00000000-0005-0000-0000-000005030000}"/>
    <cellStyle name="Lines" xfId="107" xr:uid="{00000000-0005-0000-0000-00009C000000}"/>
    <cellStyle name="Linked Cell" xfId="339" builtinId="24" customBuiltin="1"/>
    <cellStyle name="Linked Cell 2" xfId="556" xr:uid="{00000000-0005-0000-0000-000046020000}"/>
    <cellStyle name="Linked Cell 3" xfId="636" xr:uid="{00000000-0005-0000-0000-00009C020000}"/>
    <cellStyle name="Linked Cell 4" xfId="696" xr:uid="{00000000-0005-0000-0000-0000DA020000}"/>
    <cellStyle name="Linked Cell 5" xfId="746" xr:uid="{00000000-0005-0000-0000-000006030000}"/>
    <cellStyle name="Neutral" xfId="335" builtinId="28" customBuiltin="1"/>
    <cellStyle name="Neutral 2" xfId="552" xr:uid="{00000000-0005-0000-0000-000047020000}"/>
    <cellStyle name="Neutral 3" xfId="632" xr:uid="{00000000-0005-0000-0000-00009D020000}"/>
    <cellStyle name="Neutral 4" xfId="706" xr:uid="{00000000-0005-0000-0000-0000DB020000}"/>
    <cellStyle name="Neutral 5" xfId="742" xr:uid="{00000000-0005-0000-0000-000007030000}"/>
    <cellStyle name="Neutral 6" xfId="882" xr:uid="{4D0D9AFF-0F61-4F92-82C0-F3ED63B10073}"/>
    <cellStyle name="no dec" xfId="108" xr:uid="{00000000-0005-0000-0000-00009F000000}"/>
    <cellStyle name="Normal" xfId="0" builtinId="0"/>
    <cellStyle name="Normal - Style1" xfId="109" xr:uid="{00000000-0005-0000-0000-0000A1000000}"/>
    <cellStyle name="Normal 10" xfId="24" xr:uid="{00000000-0005-0000-0000-0000A2000000}"/>
    <cellStyle name="Normal 100" xfId="263" xr:uid="{00000000-0005-0000-0000-0000A3000000}"/>
    <cellStyle name="Normal 101" xfId="264" xr:uid="{00000000-0005-0000-0000-0000A4000000}"/>
    <cellStyle name="Normal 101 2" xfId="487" xr:uid="{00000000-0005-0000-0000-0000A5000000}"/>
    <cellStyle name="Normal 102" xfId="279" xr:uid="{00000000-0005-0000-0000-0000A6000000}"/>
    <cellStyle name="Normal 102 2" xfId="489" xr:uid="{00000000-0005-0000-0000-0000A7000000}"/>
    <cellStyle name="Normal 103" xfId="280" xr:uid="{00000000-0005-0000-0000-0000A8000000}"/>
    <cellStyle name="Normal 103 2" xfId="490" xr:uid="{00000000-0005-0000-0000-0000A9000000}"/>
    <cellStyle name="Normal 104" xfId="281" xr:uid="{00000000-0005-0000-0000-0000AA000000}"/>
    <cellStyle name="Normal 104 2" xfId="491" xr:uid="{00000000-0005-0000-0000-0000AB000000}"/>
    <cellStyle name="Normal 105" xfId="282" xr:uid="{00000000-0005-0000-0000-0000AC000000}"/>
    <cellStyle name="Normal 105 2" xfId="492" xr:uid="{00000000-0005-0000-0000-0000AD000000}"/>
    <cellStyle name="Normal 106" xfId="283" xr:uid="{00000000-0005-0000-0000-0000AE000000}"/>
    <cellStyle name="Normal 106 2" xfId="493" xr:uid="{00000000-0005-0000-0000-0000AF000000}"/>
    <cellStyle name="Normal 107" xfId="284" xr:uid="{00000000-0005-0000-0000-0000B0000000}"/>
    <cellStyle name="Normal 107 2" xfId="494" xr:uid="{00000000-0005-0000-0000-0000B1000000}"/>
    <cellStyle name="Normal 107 3" xfId="529" xr:uid="{00000000-0005-0000-0000-0000B2000000}"/>
    <cellStyle name="Normal 108" xfId="285" xr:uid="{00000000-0005-0000-0000-0000B3000000}"/>
    <cellStyle name="Normal 108 2" xfId="495" xr:uid="{00000000-0005-0000-0000-0000B4000000}"/>
    <cellStyle name="Normal 109" xfId="286" xr:uid="{00000000-0005-0000-0000-0000B5000000}"/>
    <cellStyle name="Normal 109 2" xfId="496" xr:uid="{00000000-0005-0000-0000-0000B6000000}"/>
    <cellStyle name="Normal 11" xfId="32" xr:uid="{00000000-0005-0000-0000-0000B7000000}"/>
    <cellStyle name="Normal 11 2" xfId="165" xr:uid="{00000000-0005-0000-0000-0000B8000000}"/>
    <cellStyle name="Normal 110" xfId="287" xr:uid="{00000000-0005-0000-0000-0000B9000000}"/>
    <cellStyle name="Normal 110 2" xfId="497" xr:uid="{00000000-0005-0000-0000-0000BA000000}"/>
    <cellStyle name="Normal 111" xfId="288" xr:uid="{00000000-0005-0000-0000-0000BB000000}"/>
    <cellStyle name="Normal 111 2" xfId="498" xr:uid="{00000000-0005-0000-0000-0000BC000000}"/>
    <cellStyle name="Normal 112" xfId="289" xr:uid="{00000000-0005-0000-0000-0000BD000000}"/>
    <cellStyle name="Normal 113" xfId="277" xr:uid="{00000000-0005-0000-0000-0000BE000000}"/>
    <cellStyle name="Normal 114" xfId="271" xr:uid="{00000000-0005-0000-0000-0000BF000000}"/>
    <cellStyle name="Normal 115" xfId="278" xr:uid="{00000000-0005-0000-0000-0000C0000000}"/>
    <cellStyle name="Normal 116" xfId="290" xr:uid="{00000000-0005-0000-0000-0000C1000000}"/>
    <cellStyle name="Normal 117" xfId="291" xr:uid="{00000000-0005-0000-0000-0000C2000000}"/>
    <cellStyle name="Normal 118" xfId="292" xr:uid="{00000000-0005-0000-0000-0000C3000000}"/>
    <cellStyle name="Normal 119" xfId="293" xr:uid="{00000000-0005-0000-0000-0000C4000000}"/>
    <cellStyle name="Normal 12" xfId="38" xr:uid="{00000000-0005-0000-0000-0000C5000000}"/>
    <cellStyle name="Normal 12 2" xfId="435" xr:uid="{00000000-0005-0000-0000-0000C6000000}"/>
    <cellStyle name="Normal 120" xfId="294" xr:uid="{00000000-0005-0000-0000-0000C7000000}"/>
    <cellStyle name="Normal 121" xfId="295" xr:uid="{00000000-0005-0000-0000-0000C8000000}"/>
    <cellStyle name="Normal 122" xfId="296" xr:uid="{00000000-0005-0000-0000-0000C9000000}"/>
    <cellStyle name="Normal 122 2" xfId="500" xr:uid="{00000000-0005-0000-0000-0000CA000000}"/>
    <cellStyle name="Normal 123" xfId="297" xr:uid="{00000000-0005-0000-0000-0000CB000000}"/>
    <cellStyle name="Normal 123 2" xfId="501" xr:uid="{00000000-0005-0000-0000-0000CC000000}"/>
    <cellStyle name="Normal 124" xfId="298" xr:uid="{00000000-0005-0000-0000-0000CD000000}"/>
    <cellStyle name="Normal 124 2" xfId="502" xr:uid="{00000000-0005-0000-0000-0000CE000000}"/>
    <cellStyle name="Normal 125" xfId="299" xr:uid="{00000000-0005-0000-0000-0000CF000000}"/>
    <cellStyle name="Normal 126" xfId="300" xr:uid="{00000000-0005-0000-0000-0000D0000000}"/>
    <cellStyle name="Normal 127" xfId="301" xr:uid="{00000000-0005-0000-0000-0000D1000000}"/>
    <cellStyle name="Normal 128" xfId="302" xr:uid="{00000000-0005-0000-0000-0000D2000000}"/>
    <cellStyle name="Normal 129" xfId="303" xr:uid="{00000000-0005-0000-0000-0000D3000000}"/>
    <cellStyle name="Normal 13" xfId="64" xr:uid="{00000000-0005-0000-0000-0000D4000000}"/>
    <cellStyle name="Normal 13 2" xfId="437" xr:uid="{00000000-0005-0000-0000-0000D5000000}"/>
    <cellStyle name="Normal 130" xfId="304" xr:uid="{00000000-0005-0000-0000-0000D6000000}"/>
    <cellStyle name="Normal 131" xfId="305" xr:uid="{00000000-0005-0000-0000-0000D7000000}"/>
    <cellStyle name="Normal 132" xfId="306" xr:uid="{00000000-0005-0000-0000-0000D8000000}"/>
    <cellStyle name="Normal 132 2" xfId="503" xr:uid="{00000000-0005-0000-0000-0000D9000000}"/>
    <cellStyle name="Normal 133" xfId="308" xr:uid="{00000000-0005-0000-0000-0000DA000000}"/>
    <cellStyle name="Normal 133 2" xfId="505" xr:uid="{00000000-0005-0000-0000-0000DB000000}"/>
    <cellStyle name="Normal 134" xfId="309" xr:uid="{00000000-0005-0000-0000-0000DC000000}"/>
    <cellStyle name="Normal 134 2" xfId="506" xr:uid="{00000000-0005-0000-0000-0000DD000000}"/>
    <cellStyle name="Normal 135" xfId="310" xr:uid="{00000000-0005-0000-0000-0000DE000000}"/>
    <cellStyle name="Normal 135 2" xfId="507" xr:uid="{00000000-0005-0000-0000-0000DF000000}"/>
    <cellStyle name="Normal 136" xfId="307" xr:uid="{00000000-0005-0000-0000-0000E0000000}"/>
    <cellStyle name="Normal 136 2" xfId="504" xr:uid="{00000000-0005-0000-0000-0000E1000000}"/>
    <cellStyle name="Normal 137" xfId="311" xr:uid="{00000000-0005-0000-0000-0000E2000000}"/>
    <cellStyle name="Normal 138" xfId="312" xr:uid="{00000000-0005-0000-0000-0000E3000000}"/>
    <cellStyle name="Normal 139" xfId="313" xr:uid="{00000000-0005-0000-0000-0000E4000000}"/>
    <cellStyle name="Normal 14" xfId="114" xr:uid="{00000000-0005-0000-0000-0000E5000000}"/>
    <cellStyle name="Normal 14 2" xfId="438" xr:uid="{00000000-0005-0000-0000-0000E6000000}"/>
    <cellStyle name="Normal 140" xfId="314" xr:uid="{00000000-0005-0000-0000-0000E7000000}"/>
    <cellStyle name="Normal 141" xfId="315" xr:uid="{00000000-0005-0000-0000-0000E8000000}"/>
    <cellStyle name="Normal 142" xfId="316" xr:uid="{00000000-0005-0000-0000-0000E9000000}"/>
    <cellStyle name="Normal 143" xfId="317" xr:uid="{00000000-0005-0000-0000-0000EA000000}"/>
    <cellStyle name="Normal 144" xfId="318" xr:uid="{00000000-0005-0000-0000-0000EB000000}"/>
    <cellStyle name="Normal 145" xfId="319" xr:uid="{00000000-0005-0000-0000-0000EC000000}"/>
    <cellStyle name="Normal 146" xfId="320" xr:uid="{00000000-0005-0000-0000-0000ED000000}"/>
    <cellStyle name="Normal 146 2" xfId="509" xr:uid="{00000000-0005-0000-0000-0000EE000000}"/>
    <cellStyle name="Normal 147" xfId="321" xr:uid="{00000000-0005-0000-0000-0000EF000000}"/>
    <cellStyle name="Normal 148" xfId="322" xr:uid="{00000000-0005-0000-0000-0000F0000000}"/>
    <cellStyle name="Normal 149" xfId="323" xr:uid="{00000000-0005-0000-0000-0000F1000000}"/>
    <cellStyle name="Normal 15" xfId="178" xr:uid="{00000000-0005-0000-0000-0000F2000000}"/>
    <cellStyle name="Normal 15 2" xfId="439" xr:uid="{00000000-0005-0000-0000-0000F3000000}"/>
    <cellStyle name="Normal 150" xfId="324" xr:uid="{00000000-0005-0000-0000-0000F4000000}"/>
    <cellStyle name="Normal 150 2" xfId="542" xr:uid="{00000000-0005-0000-0000-000049020000}"/>
    <cellStyle name="Normal 151" xfId="325" xr:uid="{00000000-0005-0000-0000-0000F5000000}"/>
    <cellStyle name="Normal 151 2" xfId="543" xr:uid="{00000000-0005-0000-0000-00004A020000}"/>
    <cellStyle name="Normal 152" xfId="326" xr:uid="{00000000-0005-0000-0000-0000F6000000}"/>
    <cellStyle name="Normal 152 2" xfId="544" xr:uid="{00000000-0005-0000-0000-00004B020000}"/>
    <cellStyle name="Normal 153" xfId="327" xr:uid="{00000000-0005-0000-0000-0000F7000000}"/>
    <cellStyle name="Normal 153 2" xfId="545" xr:uid="{00000000-0005-0000-0000-00004C020000}"/>
    <cellStyle name="Normal 154" xfId="369" xr:uid="{00000000-0005-0000-0000-0000F8000000}"/>
    <cellStyle name="Normal 155" xfId="370" xr:uid="{00000000-0005-0000-0000-0000F9000000}"/>
    <cellStyle name="Normal 156" xfId="371" xr:uid="{00000000-0005-0000-0000-0000FA000000}"/>
    <cellStyle name="Normal 157" xfId="372" xr:uid="{00000000-0005-0000-0000-0000FB000000}"/>
    <cellStyle name="Normal 158" xfId="373" xr:uid="{00000000-0005-0000-0000-0000FC000000}"/>
    <cellStyle name="Normal 159" xfId="374" xr:uid="{00000000-0005-0000-0000-0000FD000000}"/>
    <cellStyle name="Normal 16" xfId="179" xr:uid="{00000000-0005-0000-0000-0000FE000000}"/>
    <cellStyle name="Normal 16 2" xfId="440" xr:uid="{00000000-0005-0000-0000-0000FF000000}"/>
    <cellStyle name="Normal 160" xfId="375" xr:uid="{00000000-0005-0000-0000-000000010000}"/>
    <cellStyle name="Normal 160 2" xfId="586" xr:uid="{00000000-0005-0000-0000-00004D020000}"/>
    <cellStyle name="Normal 161" xfId="377" xr:uid="{00000000-0005-0000-0000-000001010000}"/>
    <cellStyle name="Normal 162" xfId="379" xr:uid="{00000000-0005-0000-0000-000002010000}"/>
    <cellStyle name="Normal 163" xfId="380" xr:uid="{00000000-0005-0000-0000-000003010000}"/>
    <cellStyle name="Normal 164" xfId="381" xr:uid="{00000000-0005-0000-0000-000004010000}"/>
    <cellStyle name="Normal 165" xfId="378" xr:uid="{00000000-0005-0000-0000-000005010000}"/>
    <cellStyle name="Normal 166" xfId="382" xr:uid="{00000000-0005-0000-0000-000006010000}"/>
    <cellStyle name="Normal 166 2" xfId="588" xr:uid="{00000000-0005-0000-0000-00004E020000}"/>
    <cellStyle name="Normal 167" xfId="383" xr:uid="{00000000-0005-0000-0000-000007010000}"/>
    <cellStyle name="Normal 167 2" xfId="589" xr:uid="{00000000-0005-0000-0000-00004F020000}"/>
    <cellStyle name="Normal 168" xfId="384" xr:uid="{00000000-0005-0000-0000-000008010000}"/>
    <cellStyle name="Normal 168 2" xfId="590" xr:uid="{00000000-0005-0000-0000-000050020000}"/>
    <cellStyle name="Normal 169" xfId="385" xr:uid="{00000000-0005-0000-0000-000009010000}"/>
    <cellStyle name="Normal 169 2" xfId="591" xr:uid="{00000000-0005-0000-0000-000051020000}"/>
    <cellStyle name="Normal 17" xfId="180" xr:uid="{00000000-0005-0000-0000-00000A010000}"/>
    <cellStyle name="Normal 17 2" xfId="441" xr:uid="{00000000-0005-0000-0000-00000B010000}"/>
    <cellStyle name="Normal 170" xfId="386" xr:uid="{00000000-0005-0000-0000-00000C010000}"/>
    <cellStyle name="Normal 171" xfId="387" xr:uid="{00000000-0005-0000-0000-00000D010000}"/>
    <cellStyle name="Normal 172" xfId="388" xr:uid="{00000000-0005-0000-0000-00000E010000}"/>
    <cellStyle name="Normal 173" xfId="391" xr:uid="{00000000-0005-0000-0000-00000F010000}"/>
    <cellStyle name="Normal 174" xfId="392" xr:uid="{00000000-0005-0000-0000-000010010000}"/>
    <cellStyle name="Normal 175" xfId="394" xr:uid="{00000000-0005-0000-0000-000011010000}"/>
    <cellStyle name="Normal 176" xfId="395" xr:uid="{00000000-0005-0000-0000-000012010000}"/>
    <cellStyle name="Normal 177" xfId="419" xr:uid="{00000000-0005-0000-0000-000013010000}"/>
    <cellStyle name="Normal 178" xfId="396" xr:uid="{00000000-0005-0000-0000-000014010000}"/>
    <cellStyle name="Normal 178 2" xfId="592" xr:uid="{00000000-0005-0000-0000-000052020000}"/>
    <cellStyle name="Normal 179" xfId="418" xr:uid="{00000000-0005-0000-0000-000015010000}"/>
    <cellStyle name="Normal 179 2" xfId="593" xr:uid="{00000000-0005-0000-0000-000053020000}"/>
    <cellStyle name="Normal 18" xfId="181" xr:uid="{00000000-0005-0000-0000-000016010000}"/>
    <cellStyle name="Normal 18 2" xfId="442" xr:uid="{00000000-0005-0000-0000-000017010000}"/>
    <cellStyle name="Normal 180" xfId="508" xr:uid="{00000000-0005-0000-0000-000018010000}"/>
    <cellStyle name="Normal 180 2" xfId="598" xr:uid="{00000000-0005-0000-0000-000054020000}"/>
    <cellStyle name="Normal 181" xfId="488" xr:uid="{00000000-0005-0000-0000-000019010000}"/>
    <cellStyle name="Normal 181 2" xfId="597" xr:uid="{00000000-0005-0000-0000-000055020000}"/>
    <cellStyle name="Normal 182" xfId="515" xr:uid="{00000000-0005-0000-0000-00001A010000}"/>
    <cellStyle name="Normal 182 2" xfId="601" xr:uid="{00000000-0005-0000-0000-000056020000}"/>
    <cellStyle name="Normal 183" xfId="436" xr:uid="{00000000-0005-0000-0000-00001B010000}"/>
    <cellStyle name="Normal 183 2" xfId="595" xr:uid="{00000000-0005-0000-0000-000057020000}"/>
    <cellStyle name="Normal 184" xfId="483" xr:uid="{00000000-0005-0000-0000-00001C010000}"/>
    <cellStyle name="Normal 184 2" xfId="596" xr:uid="{00000000-0005-0000-0000-000058020000}"/>
    <cellStyle name="Normal 185" xfId="430" xr:uid="{00000000-0005-0000-0000-00001D010000}"/>
    <cellStyle name="Normal 185 2" xfId="594" xr:uid="{00000000-0005-0000-0000-000059020000}"/>
    <cellStyle name="Normal 186" xfId="416" xr:uid="{00000000-0005-0000-0000-00001E010000}"/>
    <cellStyle name="Normal 187" xfId="415" xr:uid="{00000000-0005-0000-0000-00001F010000}"/>
    <cellStyle name="Normal 188" xfId="409" xr:uid="{00000000-0005-0000-0000-000020010000}"/>
    <cellStyle name="Normal 189" xfId="518" xr:uid="{00000000-0005-0000-0000-000021010000}"/>
    <cellStyle name="Normal 189 2" xfId="604" xr:uid="{00000000-0005-0000-0000-00005A020000}"/>
    <cellStyle name="Normal 19" xfId="182" xr:uid="{00000000-0005-0000-0000-000022010000}"/>
    <cellStyle name="Normal 19 2" xfId="443" xr:uid="{00000000-0005-0000-0000-000023010000}"/>
    <cellStyle name="Normal 190" xfId="517" xr:uid="{00000000-0005-0000-0000-000024010000}"/>
    <cellStyle name="Normal 190 2" xfId="603" xr:uid="{00000000-0005-0000-0000-00005B020000}"/>
    <cellStyle name="Normal 191" xfId="514" xr:uid="{00000000-0005-0000-0000-000025010000}"/>
    <cellStyle name="Normal 191 2" xfId="600" xr:uid="{00000000-0005-0000-0000-00005C020000}"/>
    <cellStyle name="Normal 192" xfId="516" xr:uid="{00000000-0005-0000-0000-000026010000}"/>
    <cellStyle name="Normal 192 2" xfId="602" xr:uid="{00000000-0005-0000-0000-00005D020000}"/>
    <cellStyle name="Normal 193" xfId="519" xr:uid="{00000000-0005-0000-0000-000027010000}"/>
    <cellStyle name="Normal 193 2" xfId="605" xr:uid="{00000000-0005-0000-0000-00005E020000}"/>
    <cellStyle name="Normal 194" xfId="512" xr:uid="{00000000-0005-0000-0000-000028010000}"/>
    <cellStyle name="Normal 194 2" xfId="599" xr:uid="{00000000-0005-0000-0000-00005F020000}"/>
    <cellStyle name="Normal 195" xfId="521" xr:uid="{00000000-0005-0000-0000-000029010000}"/>
    <cellStyle name="Normal 196" xfId="522" xr:uid="{00000000-0005-0000-0000-00002A010000}"/>
    <cellStyle name="Normal 197" xfId="523" xr:uid="{00000000-0005-0000-0000-00002B010000}"/>
    <cellStyle name="Normal 197 2" xfId="606" xr:uid="{00000000-0005-0000-0000-000060020000}"/>
    <cellStyle name="Normal 198" xfId="524" xr:uid="{00000000-0005-0000-0000-00002C010000}"/>
    <cellStyle name="Normal 198 2" xfId="607" xr:uid="{00000000-0005-0000-0000-000061020000}"/>
    <cellStyle name="Normal 199" xfId="525" xr:uid="{00000000-0005-0000-0000-00002D010000}"/>
    <cellStyle name="Normal 199 2" xfId="608" xr:uid="{00000000-0005-0000-0000-000062020000}"/>
    <cellStyle name="normal 2" xfId="2" xr:uid="{00000000-0005-0000-0000-00002E010000}"/>
    <cellStyle name="Normal 2 2" xfId="3" xr:uid="{00000000-0005-0000-0000-00002F010000}"/>
    <cellStyle name="Normal 2 3" xfId="31" xr:uid="{00000000-0005-0000-0000-000030010000}"/>
    <cellStyle name="Normal 2 4" xfId="390" xr:uid="{00000000-0005-0000-0000-000031010000}"/>
    <cellStyle name="normal 2 5" xfId="420" xr:uid="{00000000-0005-0000-0000-000032010000}"/>
    <cellStyle name="normal 2 6" xfId="679" xr:uid="{00000000-0005-0000-0000-0000A6020000}"/>
    <cellStyle name="normal 2 7" xfId="779" xr:uid="{00000000-0005-0000-0000-000016030000}"/>
    <cellStyle name="normal 2 8" xfId="797" xr:uid="{00000000-0005-0000-0000-000027030000}"/>
    <cellStyle name="normal 2 9" xfId="819" xr:uid="{00000000-0005-0000-0000-00003F030000}"/>
    <cellStyle name="Normal 20" xfId="183" xr:uid="{00000000-0005-0000-0000-000033010000}"/>
    <cellStyle name="Normal 20 2" xfId="444" xr:uid="{00000000-0005-0000-0000-000034010000}"/>
    <cellStyle name="Normal 200" xfId="526" xr:uid="{00000000-0005-0000-0000-000035010000}"/>
    <cellStyle name="Normal 200 2" xfId="609" xr:uid="{00000000-0005-0000-0000-000063020000}"/>
    <cellStyle name="Normal 201" xfId="527" xr:uid="{00000000-0005-0000-0000-000036010000}"/>
    <cellStyle name="Normal 201 2" xfId="610" xr:uid="{00000000-0005-0000-0000-000064020000}"/>
    <cellStyle name="Normal 202" xfId="528" xr:uid="{00000000-0005-0000-0000-000037010000}"/>
    <cellStyle name="Normal 202 2" xfId="611" xr:uid="{00000000-0005-0000-0000-000065020000}"/>
    <cellStyle name="Normal 203" xfId="530" xr:uid="{00000000-0005-0000-0000-000038010000}"/>
    <cellStyle name="Normal 203 2" xfId="836" xr:uid="{00000000-0005-0000-0000-000040030000}"/>
    <cellStyle name="Normal 204" xfId="531" xr:uid="{00000000-0005-0000-0000-000039010000}"/>
    <cellStyle name="Normal 204 2" xfId="837" xr:uid="{00000000-0005-0000-0000-000041030000}"/>
    <cellStyle name="Normal 205" xfId="532" xr:uid="{00000000-0005-0000-0000-00003A010000}"/>
    <cellStyle name="Normal 205 2" xfId="838" xr:uid="{00000000-0005-0000-0000-000042030000}"/>
    <cellStyle name="Normal 206" xfId="533" xr:uid="{00000000-0005-0000-0000-00003B010000}"/>
    <cellStyle name="Normal 206 2" xfId="839" xr:uid="{00000000-0005-0000-0000-000043030000}"/>
    <cellStyle name="Normal 207" xfId="535" xr:uid="{00000000-0005-0000-0000-00001C020000}"/>
    <cellStyle name="Normal 207 2" xfId="841" xr:uid="{00000000-0005-0000-0000-000044030000}"/>
    <cellStyle name="Normal 207 2 2" xfId="890" xr:uid="{7AB5049D-1856-4E55-A2D5-953BB1F3E39D}"/>
    <cellStyle name="Normal 208" xfId="536" xr:uid="{00000000-0005-0000-0000-00001D020000}"/>
    <cellStyle name="Normal 208 2" xfId="842" xr:uid="{00000000-0005-0000-0000-000045030000}"/>
    <cellStyle name="Normal 208 2 2" xfId="891" xr:uid="{B3F34A7F-E0A1-433E-95D0-4D6837ADC19D}"/>
    <cellStyle name="Normal 209" xfId="537" xr:uid="{00000000-0005-0000-0000-00001E020000}"/>
    <cellStyle name="Normal 209 2" xfId="843" xr:uid="{00000000-0005-0000-0000-000046030000}"/>
    <cellStyle name="Normal 209 2 2" xfId="892" xr:uid="{84AAE607-A3E4-4A60-97AD-3D69A2C9D35D}"/>
    <cellStyle name="Normal 21" xfId="184" xr:uid="{00000000-0005-0000-0000-00003C010000}"/>
    <cellStyle name="Normal 21 2" xfId="445" xr:uid="{00000000-0005-0000-0000-00003D010000}"/>
    <cellStyle name="Normal 210" xfId="538" xr:uid="{00000000-0005-0000-0000-00001F020000}"/>
    <cellStyle name="Normal 210 2" xfId="844" xr:uid="{00000000-0005-0000-0000-000047030000}"/>
    <cellStyle name="Normal 211" xfId="540" xr:uid="{00000000-0005-0000-0000-000066020000}"/>
    <cellStyle name="Normal 212" xfId="539" xr:uid="{00000000-0005-0000-0000-000048020000}"/>
    <cellStyle name="Normal 212 2" xfId="845" xr:uid="{00000000-0005-0000-0000-000048030000}"/>
    <cellStyle name="Normal 213" xfId="612" xr:uid="{00000000-0005-0000-0000-000069020000}"/>
    <cellStyle name="Normal 213 2" xfId="847" xr:uid="{00000000-0005-0000-0000-000049030000}"/>
    <cellStyle name="Normal 214" xfId="615" xr:uid="{00000000-0005-0000-0000-00006D020000}"/>
    <cellStyle name="Normal 215" xfId="613" xr:uid="{00000000-0005-0000-0000-00006C020000}"/>
    <cellStyle name="Normal 216" xfId="614" xr:uid="{00000000-0005-0000-0000-000071020000}"/>
    <cellStyle name="Normal 216 2" xfId="848" xr:uid="{00000000-0005-0000-0000-00004A030000}"/>
    <cellStyle name="Normal 217" xfId="625" xr:uid="{00000000-0005-0000-0000-000072020000}"/>
    <cellStyle name="Normal 217 2" xfId="854" xr:uid="{00000000-0005-0000-0000-00004B030000}"/>
    <cellStyle name="Normal 218" xfId="618" xr:uid="{00000000-0005-0000-0000-000073020000}"/>
    <cellStyle name="Normal 218 2" xfId="850" xr:uid="{00000000-0005-0000-0000-00004C030000}"/>
    <cellStyle name="Normal 219" xfId="617" xr:uid="{00000000-0005-0000-0000-000074020000}"/>
    <cellStyle name="Normal 219 2" xfId="849" xr:uid="{00000000-0005-0000-0000-00004D030000}"/>
    <cellStyle name="Normal 22" xfId="185" xr:uid="{00000000-0005-0000-0000-00003E010000}"/>
    <cellStyle name="Normal 22 2" xfId="446" xr:uid="{00000000-0005-0000-0000-00003F010000}"/>
    <cellStyle name="Normal 220" xfId="623" xr:uid="{00000000-0005-0000-0000-000075020000}"/>
    <cellStyle name="Normal 220 2" xfId="852" xr:uid="{00000000-0005-0000-0000-00004E030000}"/>
    <cellStyle name="Normal 221" xfId="619" xr:uid="{00000000-0005-0000-0000-000076020000}"/>
    <cellStyle name="Normal 221 2" xfId="851" xr:uid="{00000000-0005-0000-0000-00004F030000}"/>
    <cellStyle name="Normal 222" xfId="622" xr:uid="{00000000-0005-0000-0000-00009F020000}"/>
    <cellStyle name="Normal 223" xfId="624" xr:uid="{00000000-0005-0000-0000-00009E020000}"/>
    <cellStyle name="Normal 223 2" xfId="853" xr:uid="{00000000-0005-0000-0000-000050030000}"/>
    <cellStyle name="Normal 224" xfId="678" xr:uid="{00000000-0005-0000-0000-0000A7020000}"/>
    <cellStyle name="Normal 225" xfId="666" xr:uid="{00000000-0005-0000-0000-0000A5020000}"/>
    <cellStyle name="Normal 225 2" xfId="855" xr:uid="{00000000-0005-0000-0000-000051030000}"/>
    <cellStyle name="Normal 226" xfId="729" xr:uid="{00000000-0005-0000-0000-0000B0020000}"/>
    <cellStyle name="Normal 226 2" xfId="860" xr:uid="{00000000-0005-0000-0000-000052030000}"/>
    <cellStyle name="Normal 227" xfId="723" xr:uid="{00000000-0005-0000-0000-0000B2020000}"/>
    <cellStyle name="Normal 227 2" xfId="859" xr:uid="{00000000-0005-0000-0000-000053030000}"/>
    <cellStyle name="Normal 228" xfId="677" xr:uid="{00000000-0005-0000-0000-0000B3020000}"/>
    <cellStyle name="Normal 228 2" xfId="856" xr:uid="{00000000-0005-0000-0000-000054030000}"/>
    <cellStyle name="Normal 229" xfId="720" xr:uid="{00000000-0005-0000-0000-0000B4020000}"/>
    <cellStyle name="Normal 229 2" xfId="858" xr:uid="{00000000-0005-0000-0000-000055030000}"/>
    <cellStyle name="Normal 23" xfId="186" xr:uid="{00000000-0005-0000-0000-000040010000}"/>
    <cellStyle name="Normal 23 2" xfId="447" xr:uid="{00000000-0005-0000-0000-000041010000}"/>
    <cellStyle name="Normal 230" xfId="725" xr:uid="{00000000-0005-0000-0000-0000DD020000}"/>
    <cellStyle name="Normal 231" xfId="704" xr:uid="{00000000-0005-0000-0000-0000DC020000}"/>
    <cellStyle name="Normal 231 2" xfId="857" xr:uid="{00000000-0005-0000-0000-000056030000}"/>
    <cellStyle name="Normal 232" xfId="732" xr:uid="{00000000-0005-0000-0000-0000E0020000}"/>
    <cellStyle name="Normal 232 2" xfId="861" xr:uid="{00000000-0005-0000-0000-000057030000}"/>
    <cellStyle name="Normal 233" xfId="734" xr:uid="{00000000-0005-0000-0000-000009030000}"/>
    <cellStyle name="Normal 234" xfId="733" xr:uid="{00000000-0005-0000-0000-000008030000}"/>
    <cellStyle name="Normal 234 2" xfId="862" xr:uid="{00000000-0005-0000-0000-000058030000}"/>
    <cellStyle name="Normal 235" xfId="778" xr:uid="{00000000-0005-0000-0000-000017030000}"/>
    <cellStyle name="Normal 236" xfId="776" xr:uid="{00000000-0005-0000-0000-000015030000}"/>
    <cellStyle name="Normal 236 2" xfId="865" xr:uid="{00000000-0005-0000-0000-000059030000}"/>
    <cellStyle name="Normal 237" xfId="796" xr:uid="{00000000-0005-0000-0000-000028030000}"/>
    <cellStyle name="Normal 238" xfId="793" xr:uid="{00000000-0005-0000-0000-000026030000}"/>
    <cellStyle name="Normal 238 2" xfId="866" xr:uid="{00000000-0005-0000-0000-00005A030000}"/>
    <cellStyle name="Normal 239" xfId="815" xr:uid="{00000000-0005-0000-0000-000031030000}"/>
    <cellStyle name="Normal 239 2" xfId="869" xr:uid="{00000000-0005-0000-0000-00005B030000}"/>
    <cellStyle name="Normal 24" xfId="187" xr:uid="{00000000-0005-0000-0000-000042010000}"/>
    <cellStyle name="Normal 24 2" xfId="448" xr:uid="{00000000-0005-0000-0000-000043010000}"/>
    <cellStyle name="Normal 240" xfId="814" xr:uid="{00000000-0005-0000-0000-000033030000}"/>
    <cellStyle name="Normal 240 2" xfId="868" xr:uid="{00000000-0005-0000-0000-00005C030000}"/>
    <cellStyle name="Normal 241" xfId="795" xr:uid="{00000000-0005-0000-0000-000035030000}"/>
    <cellStyle name="Normal 241 2" xfId="867" xr:uid="{00000000-0005-0000-0000-00005D030000}"/>
    <cellStyle name="Normal 242" xfId="818" xr:uid="{00000000-0005-0000-0000-00005E030000}"/>
    <cellStyle name="Normal 243" xfId="834" xr:uid="{00000000-0005-0000-0000-00005F030000}"/>
    <cellStyle name="Normal 244" xfId="833" xr:uid="{00000000-0005-0000-0000-000060030000}"/>
    <cellStyle name="Normal 245" xfId="816" xr:uid="{00000000-0005-0000-0000-00003E030000}"/>
    <cellStyle name="Normal 246" xfId="863" xr:uid="{00000000-0005-0000-0000-000069030000}"/>
    <cellStyle name="Normal 247" xfId="864" xr:uid="{00000000-0005-0000-0000-00006B030000}"/>
    <cellStyle name="Normal 248" xfId="870" xr:uid="{00000000-0005-0000-0000-00006A030000}"/>
    <cellStyle name="Normal 248 2" xfId="893" xr:uid="{0CBF74C7-759B-48FD-93AF-C17F1A602230}"/>
    <cellStyle name="Normal 249" xfId="871" xr:uid="{00000000-0005-0000-0000-00006B030000}"/>
    <cellStyle name="Normal 249 2" xfId="894" xr:uid="{8BEA0E30-A7D2-4B07-8E74-EFD90740F584}"/>
    <cellStyle name="Normal 25" xfId="167" xr:uid="{00000000-0005-0000-0000-000044010000}"/>
    <cellStyle name="Normal 250" xfId="872" xr:uid="{5E341EFD-BE2F-42DF-9ACC-1589506B9E9B}"/>
    <cellStyle name="Normal 250 2" xfId="895" xr:uid="{2743A299-1EBA-4C8D-B832-1D9E83953838}"/>
    <cellStyle name="Normal 251" xfId="873" xr:uid="{6F95314A-0C2B-420A-861C-B543954DB11A}"/>
    <cellStyle name="Normal 252" xfId="874" xr:uid="{918598C7-A54E-420F-B910-024B6ABA0298}"/>
    <cellStyle name="Normal 253" xfId="875" xr:uid="{B47393E0-7EE7-4F5D-A919-210501B16BD2}"/>
    <cellStyle name="Normal 254" xfId="877" xr:uid="{64279404-5DE7-4D97-9D17-A3DF68740303}"/>
    <cellStyle name="Normal 255" xfId="878" xr:uid="{A62642D3-6B18-40F8-B97C-8A65A36F07CA}"/>
    <cellStyle name="Normal 256" xfId="880" xr:uid="{63473917-2D91-4B59-82BC-17CAE2FED58B}"/>
    <cellStyle name="Normal 257" xfId="879" xr:uid="{6622C497-19D7-44D5-B3A9-F3E04D7593AB}"/>
    <cellStyle name="Normal 258" xfId="889" xr:uid="{0112D493-7930-4EDA-AD7D-7BD653F79F37}"/>
    <cellStyle name="Normal 26" xfId="166" xr:uid="{00000000-0005-0000-0000-000045010000}"/>
    <cellStyle name="Normal 27" xfId="189" xr:uid="{00000000-0005-0000-0000-000046010000}"/>
    <cellStyle name="Normal 28" xfId="190" xr:uid="{00000000-0005-0000-0000-000047010000}"/>
    <cellStyle name="Normal 29" xfId="191" xr:uid="{00000000-0005-0000-0000-000048010000}"/>
    <cellStyle name="Normal 3" xfId="4" xr:uid="{00000000-0005-0000-0000-000049010000}"/>
    <cellStyle name="Normal 3 10" xfId="820" xr:uid="{00000000-0005-0000-0000-000061030000}"/>
    <cellStyle name="Normal 3 2" xfId="7" xr:uid="{00000000-0005-0000-0000-00004A010000}"/>
    <cellStyle name="Normal 3 2 2" xfId="111" xr:uid="{00000000-0005-0000-0000-00004B010000}"/>
    <cellStyle name="Normal 3 2 3" xfId="424" xr:uid="{00000000-0005-0000-0000-00004C010000}"/>
    <cellStyle name="Normal 3 2 4" xfId="683" xr:uid="{00000000-0005-0000-0000-0000A8020000}"/>
    <cellStyle name="Normal 3 2 5" xfId="783" xr:uid="{00000000-0005-0000-0000-000018030000}"/>
    <cellStyle name="Normal 3 2 6" xfId="801" xr:uid="{00000000-0005-0000-0000-000029030000}"/>
    <cellStyle name="Normal 3 2 7" xfId="823" xr:uid="{00000000-0005-0000-0000-000062030000}"/>
    <cellStyle name="Normal 3 3" xfId="48" xr:uid="{00000000-0005-0000-0000-00004D010000}"/>
    <cellStyle name="Normal 3 4" xfId="110" xr:uid="{00000000-0005-0000-0000-00004E010000}"/>
    <cellStyle name="Normal 3 5" xfId="389" xr:uid="{00000000-0005-0000-0000-00004F010000}"/>
    <cellStyle name="Normal 3 6" xfId="421" xr:uid="{00000000-0005-0000-0000-000050010000}"/>
    <cellStyle name="Normal 3 7" xfId="680" xr:uid="{00000000-0005-0000-0000-0000A9020000}"/>
    <cellStyle name="Normal 3 8" xfId="780" xr:uid="{00000000-0005-0000-0000-000019030000}"/>
    <cellStyle name="Normal 3 9" xfId="798" xr:uid="{00000000-0005-0000-0000-00002A030000}"/>
    <cellStyle name="Normal 30" xfId="192" xr:uid="{00000000-0005-0000-0000-000051010000}"/>
    <cellStyle name="Normal 31" xfId="193" xr:uid="{00000000-0005-0000-0000-000052010000}"/>
    <cellStyle name="Normal 32" xfId="194" xr:uid="{00000000-0005-0000-0000-000053010000}"/>
    <cellStyle name="Normal 33" xfId="195" xr:uid="{00000000-0005-0000-0000-000054010000}"/>
    <cellStyle name="Normal 33 2" xfId="450" xr:uid="{00000000-0005-0000-0000-000055010000}"/>
    <cellStyle name="Normal 34" xfId="196" xr:uid="{00000000-0005-0000-0000-000056010000}"/>
    <cellStyle name="Normal 34 2" xfId="451" xr:uid="{00000000-0005-0000-0000-000057010000}"/>
    <cellStyle name="Normal 35" xfId="197" xr:uid="{00000000-0005-0000-0000-000058010000}"/>
    <cellStyle name="Normal 35 2" xfId="452" xr:uid="{00000000-0005-0000-0000-000059010000}"/>
    <cellStyle name="Normal 36" xfId="198" xr:uid="{00000000-0005-0000-0000-00005A010000}"/>
    <cellStyle name="Normal 36 2" xfId="453" xr:uid="{00000000-0005-0000-0000-00005B010000}"/>
    <cellStyle name="Normal 37" xfId="199" xr:uid="{00000000-0005-0000-0000-00005C010000}"/>
    <cellStyle name="Normal 37 2" xfId="454" xr:uid="{00000000-0005-0000-0000-00005D010000}"/>
    <cellStyle name="Normal 38" xfId="200" xr:uid="{00000000-0005-0000-0000-00005E010000}"/>
    <cellStyle name="Normal 38 2" xfId="455" xr:uid="{00000000-0005-0000-0000-00005F010000}"/>
    <cellStyle name="Normal 39" xfId="201" xr:uid="{00000000-0005-0000-0000-000060010000}"/>
    <cellStyle name="Normal 39 2" xfId="456" xr:uid="{00000000-0005-0000-0000-000061010000}"/>
    <cellStyle name="Normal 4" xfId="5" xr:uid="{00000000-0005-0000-0000-000062010000}"/>
    <cellStyle name="Normal 4 2" xfId="113" xr:uid="{00000000-0005-0000-0000-000063010000}"/>
    <cellStyle name="Normal 4 3" xfId="112" xr:uid="{00000000-0005-0000-0000-000064010000}"/>
    <cellStyle name="Normal 4 4" xfId="422" xr:uid="{00000000-0005-0000-0000-000065010000}"/>
    <cellStyle name="Normal 4 5" xfId="681" xr:uid="{00000000-0005-0000-0000-0000AA020000}"/>
    <cellStyle name="Normal 4 6" xfId="781" xr:uid="{00000000-0005-0000-0000-00001A030000}"/>
    <cellStyle name="Normal 4 7" xfId="799" xr:uid="{00000000-0005-0000-0000-00002B030000}"/>
    <cellStyle name="Normal 4 8" xfId="821" xr:uid="{00000000-0005-0000-0000-000063030000}"/>
    <cellStyle name="Normal 40" xfId="202" xr:uid="{00000000-0005-0000-0000-000066010000}"/>
    <cellStyle name="Normal 40 2" xfId="457" xr:uid="{00000000-0005-0000-0000-000067010000}"/>
    <cellStyle name="Normal 41" xfId="203" xr:uid="{00000000-0005-0000-0000-000068010000}"/>
    <cellStyle name="Normal 41 2" xfId="458" xr:uid="{00000000-0005-0000-0000-000069010000}"/>
    <cellStyle name="Normal 42" xfId="204" xr:uid="{00000000-0005-0000-0000-00006A010000}"/>
    <cellStyle name="Normal 42 2" xfId="459" xr:uid="{00000000-0005-0000-0000-00006B010000}"/>
    <cellStyle name="Normal 43" xfId="206" xr:uid="{00000000-0005-0000-0000-00006C010000}"/>
    <cellStyle name="Normal 43 2" xfId="461" xr:uid="{00000000-0005-0000-0000-00006D010000}"/>
    <cellStyle name="Normal 44" xfId="207" xr:uid="{00000000-0005-0000-0000-00006E010000}"/>
    <cellStyle name="Normal 44 2" xfId="462" xr:uid="{00000000-0005-0000-0000-00006F010000}"/>
    <cellStyle name="Normal 45" xfId="208" xr:uid="{00000000-0005-0000-0000-000070010000}"/>
    <cellStyle name="Normal 45 2" xfId="463" xr:uid="{00000000-0005-0000-0000-000071010000}"/>
    <cellStyle name="Normal 46" xfId="209" xr:uid="{00000000-0005-0000-0000-000072010000}"/>
    <cellStyle name="Normal 46 2" xfId="464" xr:uid="{00000000-0005-0000-0000-000073010000}"/>
    <cellStyle name="Normal 47" xfId="210" xr:uid="{00000000-0005-0000-0000-000074010000}"/>
    <cellStyle name="Normal 47 2" xfId="465" xr:uid="{00000000-0005-0000-0000-000075010000}"/>
    <cellStyle name="Normal 48" xfId="211" xr:uid="{00000000-0005-0000-0000-000076010000}"/>
    <cellStyle name="Normal 48 2" xfId="466" xr:uid="{00000000-0005-0000-0000-000077010000}"/>
    <cellStyle name="Normal 49" xfId="212" xr:uid="{00000000-0005-0000-0000-000078010000}"/>
    <cellStyle name="Normal 49 2" xfId="467" xr:uid="{00000000-0005-0000-0000-000079010000}"/>
    <cellStyle name="Normal 5" xfId="8" xr:uid="{00000000-0005-0000-0000-00007A010000}"/>
    <cellStyle name="Normal 50" xfId="213" xr:uid="{00000000-0005-0000-0000-00007B010000}"/>
    <cellStyle name="Normal 50 2" xfId="468" xr:uid="{00000000-0005-0000-0000-00007C010000}"/>
    <cellStyle name="Normal 51" xfId="214" xr:uid="{00000000-0005-0000-0000-00007D010000}"/>
    <cellStyle name="Normal 51 2" xfId="469" xr:uid="{00000000-0005-0000-0000-00007E010000}"/>
    <cellStyle name="Normal 52" xfId="215" xr:uid="{00000000-0005-0000-0000-00007F010000}"/>
    <cellStyle name="Normal 52 2" xfId="470" xr:uid="{00000000-0005-0000-0000-000080010000}"/>
    <cellStyle name="Normal 53" xfId="216" xr:uid="{00000000-0005-0000-0000-000081010000}"/>
    <cellStyle name="Normal 53 2" xfId="471" xr:uid="{00000000-0005-0000-0000-000082010000}"/>
    <cellStyle name="Normal 54" xfId="217" xr:uid="{00000000-0005-0000-0000-000083010000}"/>
    <cellStyle name="Normal 54 2" xfId="472" xr:uid="{00000000-0005-0000-0000-000084010000}"/>
    <cellStyle name="Normal 55" xfId="218" xr:uid="{00000000-0005-0000-0000-000085010000}"/>
    <cellStyle name="Normal 55 2" xfId="473" xr:uid="{00000000-0005-0000-0000-000086010000}"/>
    <cellStyle name="Normal 56" xfId="219" xr:uid="{00000000-0005-0000-0000-000087010000}"/>
    <cellStyle name="Normal 56 2" xfId="474" xr:uid="{00000000-0005-0000-0000-000088010000}"/>
    <cellStyle name="Normal 57" xfId="220" xr:uid="{00000000-0005-0000-0000-000089010000}"/>
    <cellStyle name="Normal 57 2" xfId="475" xr:uid="{00000000-0005-0000-0000-00008A010000}"/>
    <cellStyle name="Normal 58" xfId="221" xr:uid="{00000000-0005-0000-0000-00008B010000}"/>
    <cellStyle name="Normal 58 2" xfId="476" xr:uid="{00000000-0005-0000-0000-00008C010000}"/>
    <cellStyle name="Normal 59" xfId="222" xr:uid="{00000000-0005-0000-0000-00008D010000}"/>
    <cellStyle name="Normal 59 2" xfId="477" xr:uid="{00000000-0005-0000-0000-00008E010000}"/>
    <cellStyle name="Normal 6" xfId="9" xr:uid="{00000000-0005-0000-0000-00008F010000}"/>
    <cellStyle name="Normal 6 2" xfId="425" xr:uid="{00000000-0005-0000-0000-000090010000}"/>
    <cellStyle name="Normal 6 3" xfId="410" xr:uid="{00000000-0005-0000-0000-000091010000}"/>
    <cellStyle name="Normal 6 4" xfId="684" xr:uid="{00000000-0005-0000-0000-0000AB020000}"/>
    <cellStyle name="Normal 6 5" xfId="784" xr:uid="{00000000-0005-0000-0000-00001B030000}"/>
    <cellStyle name="Normal 6 6" xfId="802" xr:uid="{00000000-0005-0000-0000-00002C030000}"/>
    <cellStyle name="Normal 6 7" xfId="824" xr:uid="{00000000-0005-0000-0000-000064030000}"/>
    <cellStyle name="Normal 60" xfId="223" xr:uid="{00000000-0005-0000-0000-000092010000}"/>
    <cellStyle name="Normal 60 2" xfId="478" xr:uid="{00000000-0005-0000-0000-000093010000}"/>
    <cellStyle name="Normal 61" xfId="224" xr:uid="{00000000-0005-0000-0000-000094010000}"/>
    <cellStyle name="Normal 61 2" xfId="479" xr:uid="{00000000-0005-0000-0000-000095010000}"/>
    <cellStyle name="Normal 62" xfId="225" xr:uid="{00000000-0005-0000-0000-000096010000}"/>
    <cellStyle name="Normal 62 2" xfId="480" xr:uid="{00000000-0005-0000-0000-000097010000}"/>
    <cellStyle name="Normal 63" xfId="226" xr:uid="{00000000-0005-0000-0000-000098010000}"/>
    <cellStyle name="Normal 63 2" xfId="481" xr:uid="{00000000-0005-0000-0000-000099010000}"/>
    <cellStyle name="Normal 64" xfId="227" xr:uid="{00000000-0005-0000-0000-00009A010000}"/>
    <cellStyle name="Normal 64 2" xfId="482" xr:uid="{00000000-0005-0000-0000-00009B010000}"/>
    <cellStyle name="Normal 65" xfId="228" xr:uid="{00000000-0005-0000-0000-00009C010000}"/>
    <cellStyle name="Normal 66" xfId="229" xr:uid="{00000000-0005-0000-0000-00009D010000}"/>
    <cellStyle name="Normal 67" xfId="230" xr:uid="{00000000-0005-0000-0000-00009E010000}"/>
    <cellStyle name="Normal 68" xfId="231" xr:uid="{00000000-0005-0000-0000-00009F010000}"/>
    <cellStyle name="Normal 69" xfId="232" xr:uid="{00000000-0005-0000-0000-0000A0010000}"/>
    <cellStyle name="Normal 7" xfId="10" xr:uid="{00000000-0005-0000-0000-0000A1010000}"/>
    <cellStyle name="Normal 7 2" xfId="426" xr:uid="{00000000-0005-0000-0000-0000A2010000}"/>
    <cellStyle name="Normal 7 3" xfId="411" xr:uid="{00000000-0005-0000-0000-0000A3010000}"/>
    <cellStyle name="Normal 7 4" xfId="685" xr:uid="{00000000-0005-0000-0000-0000AC020000}"/>
    <cellStyle name="Normal 7 5" xfId="785" xr:uid="{00000000-0005-0000-0000-00001C030000}"/>
    <cellStyle name="Normal 7 6" xfId="803" xr:uid="{00000000-0005-0000-0000-00002D030000}"/>
    <cellStyle name="Normal 7 7" xfId="825" xr:uid="{00000000-0005-0000-0000-000065030000}"/>
    <cellStyle name="Normal 70" xfId="234" xr:uid="{00000000-0005-0000-0000-0000A4010000}"/>
    <cellStyle name="Normal 71" xfId="233" xr:uid="{00000000-0005-0000-0000-0000A5010000}"/>
    <cellStyle name="Normal 72" xfId="236" xr:uid="{00000000-0005-0000-0000-0000A6010000}"/>
    <cellStyle name="Normal 73" xfId="237" xr:uid="{00000000-0005-0000-0000-0000A7010000}"/>
    <cellStyle name="Normal 74" xfId="238" xr:uid="{00000000-0005-0000-0000-0000A8010000}"/>
    <cellStyle name="Normal 75" xfId="239" xr:uid="{00000000-0005-0000-0000-0000A9010000}"/>
    <cellStyle name="Normal 76" xfId="240" xr:uid="{00000000-0005-0000-0000-0000AA010000}"/>
    <cellStyle name="Normal 77" xfId="241" xr:uid="{00000000-0005-0000-0000-0000AB010000}"/>
    <cellStyle name="Normal 78" xfId="242" xr:uid="{00000000-0005-0000-0000-0000AC010000}"/>
    <cellStyle name="Normal 79" xfId="243" xr:uid="{00000000-0005-0000-0000-0000AD010000}"/>
    <cellStyle name="Normal 8" xfId="15" xr:uid="{00000000-0005-0000-0000-0000AE010000}"/>
    <cellStyle name="Normal 8 2" xfId="49" xr:uid="{00000000-0005-0000-0000-0000AF010000}"/>
    <cellStyle name="Normal 8 3" xfId="429" xr:uid="{00000000-0005-0000-0000-0000B0010000}"/>
    <cellStyle name="Normal 8 4" xfId="412" xr:uid="{00000000-0005-0000-0000-0000B1010000}"/>
    <cellStyle name="Normal 8 5" xfId="688" xr:uid="{00000000-0005-0000-0000-0000AD020000}"/>
    <cellStyle name="Normal 8 6" xfId="788" xr:uid="{00000000-0005-0000-0000-00001D030000}"/>
    <cellStyle name="Normal 8 7" xfId="806" xr:uid="{00000000-0005-0000-0000-00002E030000}"/>
    <cellStyle name="Normal 8 8" xfId="828" xr:uid="{00000000-0005-0000-0000-000066030000}"/>
    <cellStyle name="Normal 80" xfId="244" xr:uid="{00000000-0005-0000-0000-0000B2010000}"/>
    <cellStyle name="Normal 81" xfId="235" xr:uid="{00000000-0005-0000-0000-0000B3010000}"/>
    <cellStyle name="Normal 82" xfId="245" xr:uid="{00000000-0005-0000-0000-0000B4010000}"/>
    <cellStyle name="Normal 83" xfId="246" xr:uid="{00000000-0005-0000-0000-0000B5010000}"/>
    <cellStyle name="Normal 84" xfId="247" xr:uid="{00000000-0005-0000-0000-0000B6010000}"/>
    <cellStyle name="Normal 85" xfId="248" xr:uid="{00000000-0005-0000-0000-0000B7010000}"/>
    <cellStyle name="Normal 86" xfId="249" xr:uid="{00000000-0005-0000-0000-0000B8010000}"/>
    <cellStyle name="Normal 87" xfId="250" xr:uid="{00000000-0005-0000-0000-0000B9010000}"/>
    <cellStyle name="Normal 88" xfId="251" xr:uid="{00000000-0005-0000-0000-0000BA010000}"/>
    <cellStyle name="Normal 89" xfId="252" xr:uid="{00000000-0005-0000-0000-0000BB010000}"/>
    <cellStyle name="Normal 9" xfId="16" xr:uid="{00000000-0005-0000-0000-0000BC010000}"/>
    <cellStyle name="Normal 9 2" xfId="51" xr:uid="{00000000-0005-0000-0000-0000BD010000}"/>
    <cellStyle name="Normal 9 3" xfId="50" xr:uid="{00000000-0005-0000-0000-0000BE010000}"/>
    <cellStyle name="Normal 90" xfId="253" xr:uid="{00000000-0005-0000-0000-0000BF010000}"/>
    <cellStyle name="Normal 91" xfId="254" xr:uid="{00000000-0005-0000-0000-0000C0010000}"/>
    <cellStyle name="Normal 92" xfId="255" xr:uid="{00000000-0005-0000-0000-0000C1010000}"/>
    <cellStyle name="Normal 93" xfId="256" xr:uid="{00000000-0005-0000-0000-0000C2010000}"/>
    <cellStyle name="Normal 93 2" xfId="484" xr:uid="{00000000-0005-0000-0000-0000C3010000}"/>
    <cellStyle name="Normal 94" xfId="257" xr:uid="{00000000-0005-0000-0000-0000C4010000}"/>
    <cellStyle name="Normal 95" xfId="258" xr:uid="{00000000-0005-0000-0000-0000C5010000}"/>
    <cellStyle name="Normal 96" xfId="259" xr:uid="{00000000-0005-0000-0000-0000C6010000}"/>
    <cellStyle name="Normal 97" xfId="261" xr:uid="{00000000-0005-0000-0000-0000C7010000}"/>
    <cellStyle name="Normal 98" xfId="260" xr:uid="{00000000-0005-0000-0000-0000C8010000}"/>
    <cellStyle name="Normal 98 2" xfId="486" xr:uid="{00000000-0005-0000-0000-0000C9010000}"/>
    <cellStyle name="Normal 99" xfId="262" xr:uid="{00000000-0005-0000-0000-0000CA010000}"/>
    <cellStyle name="Normal_08q1-T-13" xfId="25" xr:uid="{00000000-0005-0000-0000-0000CB010000}"/>
    <cellStyle name="Normal2" xfId="115" xr:uid="{00000000-0005-0000-0000-0000CC010000}"/>
    <cellStyle name="Note" xfId="342" builtinId="10" customBuiltin="1"/>
    <cellStyle name="Note 2" xfId="413" xr:uid="{00000000-0005-0000-0000-0000CE010000}"/>
    <cellStyle name="Note 3" xfId="414" xr:uid="{00000000-0005-0000-0000-0000CF010000}"/>
    <cellStyle name="Note 4" xfId="559" xr:uid="{00000000-0005-0000-0000-000067020000}"/>
    <cellStyle name="Note 5" xfId="639" xr:uid="{00000000-0005-0000-0000-0000A0020000}"/>
    <cellStyle name="Note 6" xfId="707" xr:uid="{00000000-0005-0000-0000-0000DE020000}"/>
    <cellStyle name="Note 7" xfId="749" xr:uid="{00000000-0005-0000-0000-00000A030000}"/>
    <cellStyle name="Output" xfId="337" builtinId="21" customBuiltin="1"/>
    <cellStyle name="Output 2" xfId="554" xr:uid="{00000000-0005-0000-0000-000068020000}"/>
    <cellStyle name="Output 3" xfId="634" xr:uid="{00000000-0005-0000-0000-0000A1020000}"/>
    <cellStyle name="Output 4" xfId="693" xr:uid="{00000000-0005-0000-0000-0000DF020000}"/>
    <cellStyle name="Output 5" xfId="744" xr:uid="{00000000-0005-0000-0000-00000B030000}"/>
    <cellStyle name="Percent (0)" xfId="116" xr:uid="{00000000-0005-0000-0000-0000D1010000}"/>
    <cellStyle name="Percent [2]" xfId="117" xr:uid="{00000000-0005-0000-0000-0000D2010000}"/>
    <cellStyle name="Percent 10" xfId="205" xr:uid="{00000000-0005-0000-0000-0000D3010000}"/>
    <cellStyle name="Percent 10 2" xfId="460" xr:uid="{00000000-0005-0000-0000-0000D4010000}"/>
    <cellStyle name="Percent 2" xfId="14" xr:uid="{00000000-0005-0000-0000-0000D5010000}"/>
    <cellStyle name="Percent 2 2" xfId="33" xr:uid="{00000000-0005-0000-0000-0000D6010000}"/>
    <cellStyle name="Percent 2 3" xfId="118" xr:uid="{00000000-0005-0000-0000-0000D7010000}"/>
    <cellStyle name="Percent 2 4" xfId="428" xr:uid="{00000000-0005-0000-0000-0000D8010000}"/>
    <cellStyle name="Percent 2 5" xfId="687" xr:uid="{00000000-0005-0000-0000-0000AE020000}"/>
    <cellStyle name="Percent 2 6" xfId="787" xr:uid="{00000000-0005-0000-0000-00001E030000}"/>
    <cellStyle name="Percent 2 7" xfId="805" xr:uid="{00000000-0005-0000-0000-00002F030000}"/>
    <cellStyle name="Percent 2 8" xfId="827" xr:uid="{00000000-0005-0000-0000-000067030000}"/>
    <cellStyle name="Percent 3" xfId="34" xr:uid="{00000000-0005-0000-0000-0000D9010000}"/>
    <cellStyle name="Percent 3 2" xfId="52" xr:uid="{00000000-0005-0000-0000-0000DA010000}"/>
    <cellStyle name="Percent 4" xfId="53" xr:uid="{00000000-0005-0000-0000-0000DB010000}"/>
    <cellStyle name="Percent 5" xfId="54" xr:uid="{00000000-0005-0000-0000-0000DC010000}"/>
    <cellStyle name="Percent 6" xfId="55" xr:uid="{00000000-0005-0000-0000-0000DD010000}"/>
    <cellStyle name="Percent 7" xfId="56" xr:uid="{00000000-0005-0000-0000-0000DE010000}"/>
    <cellStyle name="Percent 8" xfId="57" xr:uid="{00000000-0005-0000-0000-0000DF010000}"/>
    <cellStyle name="Percent 8 2" xfId="58" xr:uid="{00000000-0005-0000-0000-0000E0010000}"/>
    <cellStyle name="Percent 9" xfId="59" xr:uid="{00000000-0005-0000-0000-0000E1010000}"/>
    <cellStyle name="PSChar" xfId="119" xr:uid="{00000000-0005-0000-0000-0000E2010000}"/>
    <cellStyle name="PSDate" xfId="120" xr:uid="{00000000-0005-0000-0000-0000E3010000}"/>
    <cellStyle name="PSDec" xfId="121" xr:uid="{00000000-0005-0000-0000-0000E4010000}"/>
    <cellStyle name="PSHeading" xfId="122" xr:uid="{00000000-0005-0000-0000-0000E5010000}"/>
    <cellStyle name="PSInt" xfId="123" xr:uid="{00000000-0005-0000-0000-0000E6010000}"/>
    <cellStyle name="PSSpacer" xfId="124" xr:uid="{00000000-0005-0000-0000-0000E7010000}"/>
    <cellStyle name="R00A" xfId="125" xr:uid="{00000000-0005-0000-0000-0000E8010000}"/>
    <cellStyle name="R00B" xfId="126" xr:uid="{00000000-0005-0000-0000-0000E9010000}"/>
    <cellStyle name="R00L" xfId="127" xr:uid="{00000000-0005-0000-0000-0000EA010000}"/>
    <cellStyle name="R01A" xfId="128" xr:uid="{00000000-0005-0000-0000-0000EB010000}"/>
    <cellStyle name="R01B" xfId="129" xr:uid="{00000000-0005-0000-0000-0000EC010000}"/>
    <cellStyle name="R01H" xfId="130" xr:uid="{00000000-0005-0000-0000-0000ED010000}"/>
    <cellStyle name="R01L" xfId="131" xr:uid="{00000000-0005-0000-0000-0000EE010000}"/>
    <cellStyle name="R02A" xfId="132" xr:uid="{00000000-0005-0000-0000-0000EF010000}"/>
    <cellStyle name="R02B" xfId="133" xr:uid="{00000000-0005-0000-0000-0000F0010000}"/>
    <cellStyle name="R02H" xfId="134" xr:uid="{00000000-0005-0000-0000-0000F1010000}"/>
    <cellStyle name="R02L" xfId="135" xr:uid="{00000000-0005-0000-0000-0000F2010000}"/>
    <cellStyle name="R03A" xfId="136" xr:uid="{00000000-0005-0000-0000-0000F3010000}"/>
    <cellStyle name="R03B" xfId="137" xr:uid="{00000000-0005-0000-0000-0000F4010000}"/>
    <cellStyle name="R03H" xfId="138" xr:uid="{00000000-0005-0000-0000-0000F5010000}"/>
    <cellStyle name="R03L" xfId="139" xr:uid="{00000000-0005-0000-0000-0000F6010000}"/>
    <cellStyle name="R04A" xfId="140" xr:uid="{00000000-0005-0000-0000-0000F7010000}"/>
    <cellStyle name="R04B" xfId="141" xr:uid="{00000000-0005-0000-0000-0000F8010000}"/>
    <cellStyle name="R04H" xfId="142" xr:uid="{00000000-0005-0000-0000-0000F9010000}"/>
    <cellStyle name="R04L" xfId="143" xr:uid="{00000000-0005-0000-0000-0000FA010000}"/>
    <cellStyle name="R05A" xfId="144" xr:uid="{00000000-0005-0000-0000-0000FB010000}"/>
    <cellStyle name="R05B" xfId="145" xr:uid="{00000000-0005-0000-0000-0000FC010000}"/>
    <cellStyle name="R05H" xfId="146" xr:uid="{00000000-0005-0000-0000-0000FD010000}"/>
    <cellStyle name="R05L" xfId="147" xr:uid="{00000000-0005-0000-0000-0000FE010000}"/>
    <cellStyle name="R06A" xfId="148" xr:uid="{00000000-0005-0000-0000-0000FF010000}"/>
    <cellStyle name="R06B" xfId="149" xr:uid="{00000000-0005-0000-0000-000000020000}"/>
    <cellStyle name="R06H" xfId="150" xr:uid="{00000000-0005-0000-0000-000001020000}"/>
    <cellStyle name="R06L" xfId="151" xr:uid="{00000000-0005-0000-0000-000002020000}"/>
    <cellStyle name="R07A" xfId="152" xr:uid="{00000000-0005-0000-0000-000003020000}"/>
    <cellStyle name="R07B" xfId="153" xr:uid="{00000000-0005-0000-0000-000004020000}"/>
    <cellStyle name="R07H" xfId="154" xr:uid="{00000000-0005-0000-0000-000005020000}"/>
    <cellStyle name="R07L" xfId="155" xr:uid="{00000000-0005-0000-0000-000006020000}"/>
    <cellStyle name="R08A" xfId="156" xr:uid="{00000000-0005-0000-0000-000007020000}"/>
    <cellStyle name="R08H" xfId="157" xr:uid="{00000000-0005-0000-0000-000008020000}"/>
    <cellStyle name="R08L" xfId="158" xr:uid="{00000000-0005-0000-0000-000009020000}"/>
    <cellStyle name="R09H" xfId="159" xr:uid="{00000000-0005-0000-0000-00000A020000}"/>
    <cellStyle name="R09L" xfId="160" xr:uid="{00000000-0005-0000-0000-00000B020000}"/>
    <cellStyle name="R10H" xfId="161" xr:uid="{00000000-0005-0000-0000-00000C020000}"/>
    <cellStyle name="R10L" xfId="162" xr:uid="{00000000-0005-0000-0000-00000D020000}"/>
    <cellStyle name="shaded - Style3" xfId="19" xr:uid="{00000000-0005-0000-0000-00000E020000}"/>
    <cellStyle name="shaded - Style7" xfId="35" xr:uid="{00000000-0005-0000-0000-00000F020000}"/>
    <cellStyle name="Style 1" xfId="163" xr:uid="{00000000-0005-0000-0000-000010020000}"/>
    <cellStyle name="TABLET - Style3" xfId="36" xr:uid="{00000000-0005-0000-0000-000011020000}"/>
    <cellStyle name="THICKL - Style4" xfId="37" xr:uid="{00000000-0005-0000-0000-000012020000}"/>
    <cellStyle name="Tickmark" xfId="164" xr:uid="{00000000-0005-0000-0000-000013020000}"/>
    <cellStyle name="Title" xfId="328" builtinId="15" customBuiltin="1"/>
    <cellStyle name="Title 2" xfId="620" xr:uid="{00000000-0005-0000-0000-000070020000}"/>
    <cellStyle name="Title 3" xfId="881" xr:uid="{642B7854-AA7D-4F51-B23F-71699DE6B64A}"/>
    <cellStyle name="Total" xfId="344" builtinId="25" customBuiltin="1"/>
    <cellStyle name="Total 2" xfId="561" xr:uid="{00000000-0005-0000-0000-000069020000}"/>
    <cellStyle name="Total 3" xfId="641" xr:uid="{00000000-0005-0000-0000-0000A2020000}"/>
    <cellStyle name="Total 4" xfId="722" xr:uid="{00000000-0005-0000-0000-0000E0020000}"/>
    <cellStyle name="Total 5" xfId="751" xr:uid="{00000000-0005-0000-0000-00000C030000}"/>
    <cellStyle name="Warning Text" xfId="341" builtinId="11" customBuiltin="1"/>
    <cellStyle name="Warning Text 2" xfId="558" xr:uid="{00000000-0005-0000-0000-00006A020000}"/>
    <cellStyle name="Warning Text 3" xfId="638" xr:uid="{00000000-0005-0000-0000-0000A3020000}"/>
    <cellStyle name="Warning Text 4" xfId="717" xr:uid="{00000000-0005-0000-0000-0000E1020000}"/>
    <cellStyle name="Warning Text 5" xfId="748" xr:uid="{00000000-0005-0000-0000-00000D03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847725" y="276225"/>
          <a:ext cx="4848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>
          <a:off x="19050" y="276225"/>
          <a:ext cx="5676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847134</xdr:colOff>
      <xdr:row>71</xdr:row>
      <xdr:rowOff>197935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93AF2C-FCB9-4599-B06F-4D2EF0549584}"/>
            </a:ext>
          </a:extLst>
        </xdr:cNvPr>
        <xdr:cNvSpPr/>
      </xdr:nvSpPr>
      <xdr:spPr>
        <a:xfrm>
          <a:off x="16163334" y="1421873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15</xdr:col>
      <xdr:colOff>847134</xdr:colOff>
      <xdr:row>68</xdr:row>
      <xdr:rowOff>197935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604996E-8165-4883-82EF-3C0F301091D1}"/>
            </a:ext>
          </a:extLst>
        </xdr:cNvPr>
        <xdr:cNvSpPr/>
      </xdr:nvSpPr>
      <xdr:spPr>
        <a:xfrm>
          <a:off x="15325134" y="1364723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8</xdr:col>
      <xdr:colOff>847134</xdr:colOff>
      <xdr:row>79</xdr:row>
      <xdr:rowOff>197935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2C9EDB8-7272-414A-A7D7-0B25E6A31303}"/>
            </a:ext>
          </a:extLst>
        </xdr:cNvPr>
        <xdr:cNvSpPr/>
      </xdr:nvSpPr>
      <xdr:spPr>
        <a:xfrm>
          <a:off x="7790859" y="1574273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1</xdr:col>
      <xdr:colOff>47034</xdr:colOff>
      <xdr:row>78</xdr:row>
      <xdr:rowOff>26485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F8CECF2-A85A-4034-9ACB-B60F64259E0D}"/>
            </a:ext>
          </a:extLst>
        </xdr:cNvPr>
        <xdr:cNvSpPr/>
      </xdr:nvSpPr>
      <xdr:spPr>
        <a:xfrm>
          <a:off x="666159" y="229343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285</xdr:row>
      <xdr:rowOff>0</xdr:rowOff>
    </xdr:from>
    <xdr:to>
      <xdr:col>1</xdr:col>
      <xdr:colOff>76200</xdr:colOff>
      <xdr:row>286</xdr:row>
      <xdr:rowOff>0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219200" y="60826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14/MAY%202014/HousingSupply.xlsx" TargetMode="External"/><Relationship Id="rId1" Type="http://schemas.openxmlformats.org/officeDocument/2006/relationships/externalLinkPath" Target="/!%20US%20HMC/NHMI%20website/Charting%20Application%20Data/2014/MAY%202014/HousingSupp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54093\Local%20Settings\Temporary%20Internet%20Files\Content.Outlook\0P7M01GI\01q1-T-1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!%20US%20HMC%20TABLES/12Q3%20Tables%20Sent/Table%2012%20Apartment%20Absorptions.xlsx" TargetMode="External"/><Relationship Id="rId1" Type="http://schemas.openxmlformats.org/officeDocument/2006/relationships/externalLinkPath" Target="/!%20US%20HMC%20TABLES/12Q3%20Tables%20Sent/Table%2012%20Apartment%20Absor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ciptions"/>
      <sheetName val="Auth_Monthy"/>
      <sheetName val="Auth_Annual"/>
      <sheetName val="Starts_Monthly"/>
      <sheetName val="Starts_Annual"/>
      <sheetName val="UndCon_Monthly"/>
      <sheetName val="UndCon_Annual"/>
      <sheetName val="Comp_Monthly"/>
      <sheetName val="Comp_Annual"/>
      <sheetName val="Manufactured_Annual"/>
      <sheetName val="Manufactured_Monthly"/>
      <sheetName val="NewForSale_Monthly"/>
      <sheetName val="NewForSale_Annual"/>
      <sheetName val="ExistingForSale_Monthly"/>
      <sheetName val="ExistingForSale_An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1"/>
    </sheetNames>
    <sheetDataSet>
      <sheetData sheetId="0">
        <row r="1">
          <cell r="A1" t="str">
            <v>Table 11. Housing Affordability Index: 1970-Present</v>
          </cell>
        </row>
        <row r="2">
          <cell r="A2" t="str">
            <v>U.S.</v>
          </cell>
          <cell r="F2" t="str">
            <v>Affordability Indexes*</v>
          </cell>
        </row>
        <row r="3">
          <cell r="A3" t="str">
            <v>Period</v>
          </cell>
          <cell r="B3" t="str">
            <v xml:space="preserve">Median Existing Price </v>
          </cell>
          <cell r="C3" t="str">
            <v>Mortgage Rate</v>
          </cell>
          <cell r="D3" t="str">
            <v xml:space="preserve">Median Family Income       </v>
          </cell>
          <cell r="E3" t="str">
            <v xml:space="preserve">Income To Qualify       </v>
          </cell>
          <cell r="F3" t="str">
            <v>Composite</v>
          </cell>
          <cell r="G3" t="str">
            <v>Fixed</v>
          </cell>
          <cell r="H3" t="str">
            <v>ARM</v>
          </cell>
        </row>
        <row r="4">
          <cell r="A4" t="str">
            <v>Annual Data</v>
          </cell>
        </row>
        <row r="5">
          <cell r="A5">
            <v>1970</v>
          </cell>
          <cell r="B5">
            <v>23000</v>
          </cell>
          <cell r="C5">
            <v>8.35</v>
          </cell>
          <cell r="D5">
            <v>9867</v>
          </cell>
          <cell r="E5">
            <v>6697</v>
          </cell>
          <cell r="F5">
            <v>147.30000000000001</v>
          </cell>
          <cell r="G5">
            <v>147.30000000000001</v>
          </cell>
          <cell r="H5">
            <v>147.30000000000001</v>
          </cell>
        </row>
        <row r="6">
          <cell r="A6">
            <v>1971</v>
          </cell>
          <cell r="B6">
            <v>24800</v>
          </cell>
          <cell r="C6">
            <v>7.67</v>
          </cell>
          <cell r="D6">
            <v>10285</v>
          </cell>
          <cell r="E6">
            <v>6770</v>
          </cell>
          <cell r="F6">
            <v>151.9</v>
          </cell>
          <cell r="G6">
            <v>151.9</v>
          </cell>
          <cell r="H6">
            <v>151.9</v>
          </cell>
        </row>
        <row r="7">
          <cell r="A7">
            <v>1972</v>
          </cell>
          <cell r="B7">
            <v>26700</v>
          </cell>
          <cell r="C7">
            <v>7.52</v>
          </cell>
          <cell r="D7">
            <v>11116</v>
          </cell>
          <cell r="E7">
            <v>7183</v>
          </cell>
          <cell r="F7">
            <v>154.80000000000001</v>
          </cell>
          <cell r="G7">
            <v>154.80000000000001</v>
          </cell>
          <cell r="H7">
            <v>154.80000000000001</v>
          </cell>
        </row>
        <row r="8">
          <cell r="A8">
            <v>1973</v>
          </cell>
          <cell r="B8">
            <v>28900</v>
          </cell>
          <cell r="C8">
            <v>8.01</v>
          </cell>
          <cell r="D8">
            <v>12051</v>
          </cell>
          <cell r="E8">
            <v>8151</v>
          </cell>
          <cell r="F8">
            <v>147.9</v>
          </cell>
          <cell r="G8">
            <v>147.9</v>
          </cell>
          <cell r="H8">
            <v>147.9</v>
          </cell>
        </row>
        <row r="9">
          <cell r="A9">
            <v>1974</v>
          </cell>
          <cell r="B9">
            <v>32000</v>
          </cell>
          <cell r="C9">
            <v>9.02</v>
          </cell>
          <cell r="D9">
            <v>12902</v>
          </cell>
          <cell r="E9">
            <v>9905</v>
          </cell>
          <cell r="F9">
            <v>130.30000000000001</v>
          </cell>
          <cell r="G9">
            <v>130.30000000000001</v>
          </cell>
          <cell r="H9">
            <v>130.30000000000001</v>
          </cell>
        </row>
        <row r="10">
          <cell r="A10">
            <v>1975</v>
          </cell>
          <cell r="B10">
            <v>35300</v>
          </cell>
          <cell r="C10">
            <v>9.2100000000000009</v>
          </cell>
          <cell r="D10">
            <v>13719</v>
          </cell>
          <cell r="E10">
            <v>11112</v>
          </cell>
          <cell r="F10">
            <v>123.5</v>
          </cell>
          <cell r="G10">
            <v>123.5</v>
          </cell>
          <cell r="H10">
            <v>123.5</v>
          </cell>
        </row>
        <row r="11">
          <cell r="A11">
            <v>1976</v>
          </cell>
          <cell r="B11">
            <v>38100</v>
          </cell>
          <cell r="C11">
            <v>9.11</v>
          </cell>
          <cell r="D11">
            <v>14958</v>
          </cell>
          <cell r="E11">
            <v>11888</v>
          </cell>
          <cell r="F11">
            <v>125.8</v>
          </cell>
          <cell r="G11">
            <v>125.8</v>
          </cell>
          <cell r="H11">
            <v>125.8</v>
          </cell>
        </row>
        <row r="12">
          <cell r="A12">
            <v>1977</v>
          </cell>
          <cell r="B12">
            <v>42900</v>
          </cell>
          <cell r="C12">
            <v>9.02</v>
          </cell>
          <cell r="D12">
            <v>16010</v>
          </cell>
          <cell r="E12">
            <v>13279</v>
          </cell>
          <cell r="F12">
            <v>120.6</v>
          </cell>
          <cell r="G12">
            <v>120.6</v>
          </cell>
          <cell r="H12">
            <v>120.6</v>
          </cell>
        </row>
        <row r="13">
          <cell r="A13">
            <v>1978</v>
          </cell>
          <cell r="B13">
            <v>48700</v>
          </cell>
          <cell r="C13">
            <v>9.58</v>
          </cell>
          <cell r="D13">
            <v>17640</v>
          </cell>
          <cell r="E13">
            <v>15834</v>
          </cell>
          <cell r="F13">
            <v>111.4</v>
          </cell>
          <cell r="G13">
            <v>111.4</v>
          </cell>
          <cell r="H13">
            <v>111.4</v>
          </cell>
        </row>
        <row r="14">
          <cell r="A14">
            <v>1979</v>
          </cell>
          <cell r="B14">
            <v>55700</v>
          </cell>
          <cell r="C14">
            <v>10.92</v>
          </cell>
          <cell r="D14">
            <v>19680</v>
          </cell>
          <cell r="E14">
            <v>20240</v>
          </cell>
          <cell r="F14">
            <v>97.2</v>
          </cell>
          <cell r="G14">
            <v>97.2</v>
          </cell>
          <cell r="H14">
            <v>97.2</v>
          </cell>
        </row>
        <row r="15">
          <cell r="A15">
            <v>1980</v>
          </cell>
          <cell r="B15">
            <v>62200</v>
          </cell>
          <cell r="C15">
            <v>12.95</v>
          </cell>
          <cell r="D15">
            <v>21023</v>
          </cell>
          <cell r="E15">
            <v>26328</v>
          </cell>
          <cell r="F15">
            <v>79.900000000000006</v>
          </cell>
          <cell r="G15">
            <v>79.900000000000006</v>
          </cell>
          <cell r="H15">
            <v>79.900000000000006</v>
          </cell>
        </row>
        <row r="16">
          <cell r="A16">
            <v>1981</v>
          </cell>
          <cell r="B16">
            <v>66400</v>
          </cell>
          <cell r="C16">
            <v>15.12</v>
          </cell>
          <cell r="D16">
            <v>22388</v>
          </cell>
          <cell r="E16">
            <v>32485</v>
          </cell>
          <cell r="F16">
            <v>68.900000000000006</v>
          </cell>
          <cell r="G16">
            <v>68.900000000000006</v>
          </cell>
          <cell r="H16">
            <v>68.900000000000006</v>
          </cell>
        </row>
        <row r="17">
          <cell r="A17">
            <v>1982</v>
          </cell>
          <cell r="B17">
            <v>67800</v>
          </cell>
          <cell r="C17">
            <v>15.38</v>
          </cell>
          <cell r="D17">
            <v>23433</v>
          </cell>
          <cell r="E17">
            <v>33713</v>
          </cell>
          <cell r="F17">
            <v>69.5</v>
          </cell>
          <cell r="G17">
            <v>69.400000000000006</v>
          </cell>
          <cell r="H17">
            <v>69.7</v>
          </cell>
        </row>
        <row r="18">
          <cell r="A18">
            <v>1983</v>
          </cell>
          <cell r="B18">
            <v>70300</v>
          </cell>
          <cell r="C18">
            <v>12.85</v>
          </cell>
          <cell r="D18">
            <v>24580</v>
          </cell>
          <cell r="E18">
            <v>29546</v>
          </cell>
          <cell r="F18">
            <v>83.2</v>
          </cell>
          <cell r="G18">
            <v>81.7</v>
          </cell>
          <cell r="H18">
            <v>85.2</v>
          </cell>
        </row>
        <row r="19">
          <cell r="A19">
            <v>1984</v>
          </cell>
          <cell r="B19">
            <v>72400</v>
          </cell>
          <cell r="C19">
            <v>12.49</v>
          </cell>
          <cell r="D19">
            <v>26433</v>
          </cell>
          <cell r="E19">
            <v>29650</v>
          </cell>
          <cell r="F19">
            <v>89.1</v>
          </cell>
          <cell r="G19">
            <v>84.6</v>
          </cell>
          <cell r="H19">
            <v>92.1</v>
          </cell>
        </row>
        <row r="20">
          <cell r="A20">
            <v>1985</v>
          </cell>
          <cell r="B20">
            <v>75500</v>
          </cell>
          <cell r="C20">
            <v>11.74</v>
          </cell>
          <cell r="D20">
            <v>27735</v>
          </cell>
          <cell r="E20">
            <v>29243</v>
          </cell>
          <cell r="F20">
            <v>94.8</v>
          </cell>
          <cell r="G20">
            <v>89.6</v>
          </cell>
          <cell r="H20">
            <v>100.6</v>
          </cell>
        </row>
        <row r="21">
          <cell r="A21">
            <v>1986</v>
          </cell>
          <cell r="B21">
            <v>80300</v>
          </cell>
          <cell r="C21">
            <v>10.25</v>
          </cell>
          <cell r="D21">
            <v>29458</v>
          </cell>
          <cell r="E21">
            <v>27047</v>
          </cell>
          <cell r="F21">
            <v>108.9</v>
          </cell>
          <cell r="G21">
            <v>105.7</v>
          </cell>
          <cell r="H21">
            <v>116.3</v>
          </cell>
        </row>
        <row r="22">
          <cell r="A22">
            <v>1987</v>
          </cell>
          <cell r="B22">
            <v>85600</v>
          </cell>
          <cell r="C22">
            <v>9.2799999999999994</v>
          </cell>
          <cell r="D22">
            <v>30970</v>
          </cell>
          <cell r="E22">
            <v>27113</v>
          </cell>
          <cell r="F22">
            <v>114.2</v>
          </cell>
          <cell r="G22">
            <v>107.6</v>
          </cell>
          <cell r="H22">
            <v>122.4</v>
          </cell>
        </row>
        <row r="23">
          <cell r="A23">
            <v>1988</v>
          </cell>
          <cell r="B23">
            <v>89300</v>
          </cell>
          <cell r="C23">
            <v>9.31</v>
          </cell>
          <cell r="D23">
            <v>32191</v>
          </cell>
          <cell r="E23">
            <v>28360</v>
          </cell>
          <cell r="F23">
            <v>113.5</v>
          </cell>
          <cell r="G23">
            <v>103.6</v>
          </cell>
          <cell r="H23">
            <v>122</v>
          </cell>
        </row>
        <row r="24">
          <cell r="A24">
            <v>1989</v>
          </cell>
          <cell r="B24">
            <v>93100</v>
          </cell>
          <cell r="C24">
            <v>10.11</v>
          </cell>
          <cell r="D24">
            <v>34213</v>
          </cell>
          <cell r="E24">
            <v>31662</v>
          </cell>
          <cell r="F24">
            <v>108.1</v>
          </cell>
          <cell r="G24">
            <v>103.6</v>
          </cell>
          <cell r="H24">
            <v>114.3</v>
          </cell>
        </row>
        <row r="25">
          <cell r="A25">
            <v>1990</v>
          </cell>
          <cell r="B25">
            <v>95500</v>
          </cell>
          <cell r="C25">
            <v>10.039999999999999</v>
          </cell>
          <cell r="D25">
            <v>35353</v>
          </cell>
          <cell r="E25">
            <v>32286</v>
          </cell>
          <cell r="F25">
            <v>109.5</v>
          </cell>
          <cell r="G25">
            <v>106.5</v>
          </cell>
          <cell r="H25">
            <v>118.3</v>
          </cell>
        </row>
        <row r="26">
          <cell r="A26">
            <v>1991</v>
          </cell>
          <cell r="B26">
            <v>100300</v>
          </cell>
          <cell r="C26">
            <v>9.3000000000000007</v>
          </cell>
          <cell r="D26">
            <v>35939</v>
          </cell>
          <cell r="E26">
            <v>31825</v>
          </cell>
          <cell r="F26">
            <v>112.9</v>
          </cell>
          <cell r="G26">
            <v>109.9</v>
          </cell>
          <cell r="H26">
            <v>124.2</v>
          </cell>
        </row>
        <row r="27">
          <cell r="A27">
            <v>1992</v>
          </cell>
          <cell r="B27">
            <v>103700</v>
          </cell>
          <cell r="C27">
            <v>8.11</v>
          </cell>
          <cell r="D27">
            <v>36812</v>
          </cell>
          <cell r="E27">
            <v>29523</v>
          </cell>
          <cell r="F27">
            <v>124.7</v>
          </cell>
          <cell r="G27">
            <v>120.1</v>
          </cell>
          <cell r="H27">
            <v>145</v>
          </cell>
        </row>
        <row r="28">
          <cell r="A28">
            <v>1993</v>
          </cell>
          <cell r="B28">
            <v>106800</v>
          </cell>
          <cell r="C28">
            <v>7.16</v>
          </cell>
          <cell r="D28">
            <v>36959</v>
          </cell>
          <cell r="E28">
            <v>27727</v>
          </cell>
          <cell r="F28">
            <v>133.30000000000001</v>
          </cell>
          <cell r="G28">
            <v>128.4</v>
          </cell>
          <cell r="H28">
            <v>154.9</v>
          </cell>
        </row>
        <row r="29">
          <cell r="A29">
            <v>1994</v>
          </cell>
          <cell r="B29">
            <v>109900</v>
          </cell>
          <cell r="C29">
            <v>7.47</v>
          </cell>
          <cell r="D29">
            <v>38782</v>
          </cell>
          <cell r="E29">
            <v>29419</v>
          </cell>
          <cell r="F29">
            <v>131.80000000000001</v>
          </cell>
          <cell r="G29">
            <v>122.2</v>
          </cell>
          <cell r="H29">
            <v>149.5</v>
          </cell>
        </row>
        <row r="30">
          <cell r="A30">
            <v>1995</v>
          </cell>
          <cell r="B30">
            <v>113100</v>
          </cell>
          <cell r="C30">
            <v>7.85</v>
          </cell>
          <cell r="D30">
            <v>40611</v>
          </cell>
          <cell r="E30">
            <v>31415</v>
          </cell>
          <cell r="F30">
            <v>129.30000000000001</v>
          </cell>
          <cell r="G30">
            <v>123.7</v>
          </cell>
          <cell r="H30">
            <v>140</v>
          </cell>
        </row>
        <row r="31">
          <cell r="A31">
            <v>1996</v>
          </cell>
          <cell r="B31">
            <v>115800</v>
          </cell>
          <cell r="C31">
            <v>7.71</v>
          </cell>
          <cell r="D31">
            <v>42300</v>
          </cell>
          <cell r="E31">
            <v>31744</v>
          </cell>
          <cell r="F31">
            <v>133.30000000000001</v>
          </cell>
          <cell r="G31">
            <v>129.6</v>
          </cell>
          <cell r="H31">
            <v>142.9</v>
          </cell>
        </row>
        <row r="32">
          <cell r="A32">
            <v>1997</v>
          </cell>
          <cell r="B32">
            <v>121800</v>
          </cell>
          <cell r="C32">
            <v>7.68</v>
          </cell>
          <cell r="D32">
            <v>44568</v>
          </cell>
          <cell r="E32">
            <v>33282</v>
          </cell>
          <cell r="F32">
            <v>133.9</v>
          </cell>
          <cell r="G32">
            <v>130.80000000000001</v>
          </cell>
          <cell r="H32">
            <v>145.19999999999999</v>
          </cell>
        </row>
        <row r="33">
          <cell r="A33">
            <v>1998</v>
          </cell>
          <cell r="B33">
            <v>128400</v>
          </cell>
          <cell r="C33">
            <v>7.1</v>
          </cell>
          <cell r="D33">
            <v>46737</v>
          </cell>
          <cell r="E33">
            <v>33120</v>
          </cell>
          <cell r="F33">
            <v>141.1</v>
          </cell>
          <cell r="G33">
            <v>139.69999999999999</v>
          </cell>
          <cell r="H33">
            <v>151</v>
          </cell>
        </row>
        <row r="34">
          <cell r="A34">
            <v>1999</v>
          </cell>
          <cell r="B34">
            <v>133300</v>
          </cell>
          <cell r="C34">
            <v>7.33</v>
          </cell>
          <cell r="D34">
            <v>48950</v>
          </cell>
          <cell r="E34">
            <v>35184</v>
          </cell>
          <cell r="F34">
            <v>139.1</v>
          </cell>
          <cell r="G34">
            <v>136.30000000000001</v>
          </cell>
          <cell r="H34">
            <v>150.4</v>
          </cell>
        </row>
        <row r="35">
          <cell r="A35">
            <v>2000</v>
          </cell>
          <cell r="B35">
            <v>139000</v>
          </cell>
          <cell r="C35">
            <v>8.0299999999999994</v>
          </cell>
          <cell r="D35">
            <v>51642</v>
          </cell>
          <cell r="E35">
            <v>39264</v>
          </cell>
          <cell r="F35">
            <v>131.5</v>
          </cell>
          <cell r="G35">
            <v>129.9</v>
          </cell>
          <cell r="H35">
            <v>143.80000000000001</v>
          </cell>
        </row>
        <row r="37">
          <cell r="A37" t="str">
            <v>Monthly Data</v>
          </cell>
        </row>
        <row r="38">
          <cell r="A38">
            <v>1997</v>
          </cell>
        </row>
        <row r="39">
          <cell r="A39" t="str">
            <v>Jan</v>
          </cell>
          <cell r="B39">
            <v>120600</v>
          </cell>
          <cell r="C39">
            <v>7.71</v>
          </cell>
          <cell r="D39">
            <v>42536</v>
          </cell>
          <cell r="E39">
            <v>33049</v>
          </cell>
          <cell r="F39">
            <v>128.69999999999999</v>
          </cell>
          <cell r="G39">
            <v>125.1</v>
          </cell>
          <cell r="H39">
            <v>139</v>
          </cell>
        </row>
        <row r="40">
          <cell r="A40" t="str">
            <v>Feb</v>
          </cell>
          <cell r="B40">
            <v>117500</v>
          </cell>
          <cell r="C40">
            <v>7.69</v>
          </cell>
          <cell r="D40">
            <v>42687</v>
          </cell>
          <cell r="E40">
            <v>32138</v>
          </cell>
          <cell r="F40">
            <v>132.80000000000001</v>
          </cell>
          <cell r="G40">
            <v>129.19999999999999</v>
          </cell>
          <cell r="H40">
            <v>143.5</v>
          </cell>
        </row>
        <row r="41">
          <cell r="A41" t="str">
            <v>Mar</v>
          </cell>
          <cell r="B41">
            <v>120000</v>
          </cell>
          <cell r="C41">
            <v>7.76</v>
          </cell>
          <cell r="D41">
            <v>42705</v>
          </cell>
          <cell r="E41">
            <v>33044</v>
          </cell>
          <cell r="F41">
            <v>129.19999999999999</v>
          </cell>
          <cell r="G41">
            <v>126.1</v>
          </cell>
          <cell r="H41">
            <v>139.4</v>
          </cell>
        </row>
        <row r="42">
          <cell r="A42" t="str">
            <v>Apr</v>
          </cell>
          <cell r="B42">
            <v>120700</v>
          </cell>
          <cell r="C42">
            <v>7.9</v>
          </cell>
          <cell r="D42">
            <v>42840</v>
          </cell>
          <cell r="E42">
            <v>33687</v>
          </cell>
          <cell r="F42">
            <v>127.2</v>
          </cell>
          <cell r="G42">
            <v>123.5</v>
          </cell>
          <cell r="H42">
            <v>137.69999999999999</v>
          </cell>
        </row>
        <row r="43">
          <cell r="A43" t="str">
            <v>May</v>
          </cell>
          <cell r="B43">
            <v>123100</v>
          </cell>
          <cell r="C43">
            <v>7.91</v>
          </cell>
          <cell r="D43">
            <v>42975</v>
          </cell>
          <cell r="E43">
            <v>34389</v>
          </cell>
          <cell r="F43">
            <v>125</v>
          </cell>
          <cell r="G43">
            <v>121</v>
          </cell>
          <cell r="H43">
            <v>137.5</v>
          </cell>
        </row>
        <row r="44">
          <cell r="A44" t="str">
            <v>Jun</v>
          </cell>
          <cell r="B44">
            <v>127200</v>
          </cell>
          <cell r="C44">
            <v>7.85</v>
          </cell>
          <cell r="D44">
            <v>43110</v>
          </cell>
          <cell r="E44">
            <v>35331</v>
          </cell>
          <cell r="F44">
            <v>122</v>
          </cell>
          <cell r="G44">
            <v>118.8</v>
          </cell>
          <cell r="H44">
            <v>132.5</v>
          </cell>
        </row>
        <row r="45">
          <cell r="A45" t="str">
            <v>Jul</v>
          </cell>
          <cell r="B45">
            <v>126500</v>
          </cell>
          <cell r="C45">
            <v>7.68</v>
          </cell>
          <cell r="D45">
            <v>43245</v>
          </cell>
          <cell r="E45">
            <v>34566</v>
          </cell>
          <cell r="F45">
            <v>125.1</v>
          </cell>
          <cell r="G45">
            <v>122.1</v>
          </cell>
          <cell r="H45">
            <v>137.1</v>
          </cell>
        </row>
        <row r="46">
          <cell r="A46" t="str">
            <v>Aug</v>
          </cell>
          <cell r="B46">
            <v>127500</v>
          </cell>
          <cell r="C46">
            <v>7.63</v>
          </cell>
          <cell r="D46">
            <v>43380</v>
          </cell>
          <cell r="E46">
            <v>34670</v>
          </cell>
          <cell r="F46">
            <v>125.1</v>
          </cell>
          <cell r="G46">
            <v>122.7</v>
          </cell>
          <cell r="H46">
            <v>135.4</v>
          </cell>
        </row>
        <row r="47">
          <cell r="A47" t="str">
            <v>Sep</v>
          </cell>
          <cell r="B47">
            <v>125800</v>
          </cell>
          <cell r="C47">
            <v>7.61</v>
          </cell>
          <cell r="D47">
            <v>43515</v>
          </cell>
          <cell r="E47">
            <v>34142</v>
          </cell>
          <cell r="F47">
            <v>127.5</v>
          </cell>
          <cell r="G47">
            <v>125</v>
          </cell>
          <cell r="H47">
            <v>138.30000000000001</v>
          </cell>
        </row>
        <row r="48">
          <cell r="A48" t="str">
            <v>Oct</v>
          </cell>
          <cell r="B48">
            <v>124400</v>
          </cell>
          <cell r="C48">
            <v>7.53</v>
          </cell>
          <cell r="D48">
            <v>43650</v>
          </cell>
          <cell r="E48">
            <v>33499</v>
          </cell>
          <cell r="F48">
            <v>130.30000000000001</v>
          </cell>
          <cell r="G48">
            <v>128.19999999999999</v>
          </cell>
          <cell r="H48">
            <v>141.5</v>
          </cell>
        </row>
        <row r="49">
          <cell r="A49" t="str">
            <v>Nov</v>
          </cell>
          <cell r="B49">
            <v>124300</v>
          </cell>
          <cell r="C49">
            <v>7.48</v>
          </cell>
          <cell r="D49">
            <v>43785</v>
          </cell>
          <cell r="E49">
            <v>33309</v>
          </cell>
          <cell r="F49">
            <v>131.5</v>
          </cell>
          <cell r="G49">
            <v>129.5</v>
          </cell>
          <cell r="H49">
            <v>141.6</v>
          </cell>
        </row>
        <row r="50">
          <cell r="A50" t="str">
            <v>Dec</v>
          </cell>
          <cell r="B50">
            <v>125900</v>
          </cell>
          <cell r="C50">
            <v>7.41</v>
          </cell>
          <cell r="D50">
            <v>43920</v>
          </cell>
          <cell r="E50">
            <v>33507</v>
          </cell>
          <cell r="F50">
            <v>131.1</v>
          </cell>
          <cell r="G50">
            <v>129.30000000000001</v>
          </cell>
          <cell r="H50">
            <v>141.69999999999999</v>
          </cell>
        </row>
        <row r="51">
          <cell r="A51">
            <v>1998</v>
          </cell>
        </row>
        <row r="52">
          <cell r="A52" t="str">
            <v>Jan</v>
          </cell>
          <cell r="B52">
            <v>124300</v>
          </cell>
          <cell r="C52">
            <v>7.26</v>
          </cell>
          <cell r="D52">
            <v>44660</v>
          </cell>
          <cell r="E52">
            <v>32593.473529474235</v>
          </cell>
          <cell r="F52">
            <v>137.02129648628588</v>
          </cell>
          <cell r="G52">
            <v>135.9389934900961</v>
          </cell>
          <cell r="H52">
            <v>145.29910602168576</v>
          </cell>
        </row>
        <row r="53">
          <cell r="A53" t="str">
            <v>Feb</v>
          </cell>
          <cell r="B53">
            <v>122400</v>
          </cell>
          <cell r="C53">
            <v>7.2</v>
          </cell>
          <cell r="D53">
            <v>44752</v>
          </cell>
          <cell r="E53">
            <v>31904.131906105977</v>
          </cell>
          <cell r="F53">
            <v>140.27023249435328</v>
          </cell>
          <cell r="G53">
            <v>139.15824434485774</v>
          </cell>
          <cell r="H53">
            <v>148.7760895711713</v>
          </cell>
        </row>
        <row r="54">
          <cell r="A54" t="str">
            <v>Mar</v>
          </cell>
          <cell r="B54">
            <v>124600</v>
          </cell>
          <cell r="C54">
            <v>7.2</v>
          </cell>
          <cell r="D54">
            <v>44845</v>
          </cell>
          <cell r="E54">
            <v>32477.572185464094</v>
          </cell>
          <cell r="F54">
            <v>138.07990247519538</v>
          </cell>
          <cell r="G54">
            <v>136.84943274987242</v>
          </cell>
          <cell r="H54">
            <v>146.90789412916803</v>
          </cell>
        </row>
        <row r="55">
          <cell r="A55" t="str">
            <v>Apr</v>
          </cell>
          <cell r="B55">
            <v>125800</v>
          </cell>
          <cell r="C55">
            <v>7.21</v>
          </cell>
          <cell r="D55">
            <v>44937</v>
          </cell>
          <cell r="E55">
            <v>32823.065921324494</v>
          </cell>
          <cell r="F55">
            <v>136.9067719259136</v>
          </cell>
          <cell r="G55">
            <v>135.55309720830863</v>
          </cell>
          <cell r="H55">
            <v>146.25882045407783</v>
          </cell>
        </row>
        <row r="56">
          <cell r="A56" t="str">
            <v>May</v>
          </cell>
          <cell r="B56">
            <v>128900</v>
          </cell>
          <cell r="C56">
            <v>7.22</v>
          </cell>
          <cell r="D56">
            <v>45030</v>
          </cell>
          <cell r="E56">
            <v>33665.428627043373</v>
          </cell>
          <cell r="F56">
            <v>133.75739396892007</v>
          </cell>
          <cell r="G56">
            <v>132.43565668469319</v>
          </cell>
          <cell r="H56">
            <v>142.88859355371824</v>
          </cell>
        </row>
        <row r="57">
          <cell r="A57" t="str">
            <v>Jun</v>
          </cell>
          <cell r="B57">
            <v>131300</v>
          </cell>
          <cell r="C57">
            <v>7.19</v>
          </cell>
          <cell r="D57">
            <v>45123</v>
          </cell>
          <cell r="E57">
            <v>34189.83370167981</v>
          </cell>
          <cell r="F57">
            <v>131.97782824484176</v>
          </cell>
          <cell r="G57">
            <v>130.41250906733219</v>
          </cell>
          <cell r="H57">
            <v>141.88696097463429</v>
          </cell>
        </row>
        <row r="58">
          <cell r="A58" t="str">
            <v>Jul</v>
          </cell>
          <cell r="B58">
            <v>131900</v>
          </cell>
          <cell r="C58">
            <v>7.14</v>
          </cell>
          <cell r="D58">
            <v>45216</v>
          </cell>
          <cell r="E58">
            <v>34174.868579535439</v>
          </cell>
          <cell r="F58">
            <v>132.30775092746427</v>
          </cell>
          <cell r="G58">
            <v>130.99401282755105</v>
          </cell>
          <cell r="H58">
            <v>143.01924268375757</v>
          </cell>
        </row>
        <row r="59">
          <cell r="A59" t="str">
            <v>Aug</v>
          </cell>
          <cell r="B59">
            <v>130800</v>
          </cell>
          <cell r="C59">
            <v>7.11</v>
          </cell>
          <cell r="D59">
            <v>45310</v>
          </cell>
          <cell r="E59">
            <v>33788.158114196587</v>
          </cell>
          <cell r="F59">
            <v>134.10023667718764</v>
          </cell>
          <cell r="G59">
            <v>132.89872174244542</v>
          </cell>
          <cell r="H59">
            <v>142.87073630854513</v>
          </cell>
        </row>
        <row r="60">
          <cell r="A60" t="str">
            <v>Sep</v>
          </cell>
          <cell r="B60">
            <v>129400</v>
          </cell>
          <cell r="C60">
            <v>7</v>
          </cell>
          <cell r="D60">
            <v>45403</v>
          </cell>
          <cell r="E60">
            <v>33058.614864455543</v>
          </cell>
          <cell r="F60">
            <v>137.34090247325238</v>
          </cell>
          <cell r="G60">
            <v>136.10215707847439</v>
          </cell>
          <cell r="H60">
            <v>147.93221876518686</v>
          </cell>
        </row>
        <row r="61">
          <cell r="A61" t="str">
            <v>Oct</v>
          </cell>
          <cell r="B61">
            <v>128100</v>
          </cell>
          <cell r="C61">
            <v>6.86</v>
          </cell>
          <cell r="D61">
            <v>45497</v>
          </cell>
          <cell r="E61">
            <v>32265.303971191919</v>
          </cell>
          <cell r="F61">
            <v>141.00905430992375</v>
          </cell>
          <cell r="G61">
            <v>140.29418144352951</v>
          </cell>
          <cell r="H61">
            <v>150.37651117841045</v>
          </cell>
        </row>
        <row r="62">
          <cell r="A62" t="str">
            <v>Nov</v>
          </cell>
          <cell r="B62">
            <v>129400</v>
          </cell>
          <cell r="C62">
            <v>6.89</v>
          </cell>
          <cell r="D62">
            <v>45591</v>
          </cell>
          <cell r="E62">
            <v>32692.348049200307</v>
          </cell>
          <cell r="F62">
            <v>139.45465138015746</v>
          </cell>
          <cell r="G62">
            <v>138.60848113671773</v>
          </cell>
          <cell r="H62">
            <v>149.01580438448113</v>
          </cell>
        </row>
        <row r="63">
          <cell r="A63" t="str">
            <v>Dec</v>
          </cell>
          <cell r="B63">
            <v>128500</v>
          </cell>
          <cell r="C63">
            <v>6.9</v>
          </cell>
          <cell r="D63">
            <v>45684.895296698836</v>
          </cell>
          <cell r="E63">
            <v>32497.964942404018</v>
          </cell>
          <cell r="F63">
            <v>140.57771118181077</v>
          </cell>
          <cell r="G63">
            <v>139.30210067039931</v>
          </cell>
          <cell r="H63">
            <v>152.13178898592017</v>
          </cell>
        </row>
        <row r="64">
          <cell r="A64">
            <v>1999</v>
          </cell>
        </row>
        <row r="65">
          <cell r="A65" t="str">
            <v>Jan</v>
          </cell>
          <cell r="B65">
            <v>130300</v>
          </cell>
          <cell r="C65">
            <v>6.89</v>
          </cell>
          <cell r="D65">
            <v>47596</v>
          </cell>
          <cell r="E65">
            <v>32919.729140732612</v>
          </cell>
          <cell r="F65">
            <v>144.6</v>
          </cell>
          <cell r="G65">
            <v>143.6</v>
          </cell>
          <cell r="H65">
            <v>154.19999999999999</v>
          </cell>
        </row>
        <row r="66">
          <cell r="A66" t="str">
            <v>Feb</v>
          </cell>
          <cell r="B66">
            <v>128100</v>
          </cell>
          <cell r="C66">
            <v>6.93</v>
          </cell>
          <cell r="D66">
            <v>47723</v>
          </cell>
          <cell r="E66">
            <v>32495.570624319836</v>
          </cell>
          <cell r="F66">
            <v>146.9</v>
          </cell>
          <cell r="G66">
            <v>145.80000000000001</v>
          </cell>
          <cell r="H66">
            <v>156.6</v>
          </cell>
        </row>
        <row r="67">
          <cell r="A67" t="str">
            <v>Mar</v>
          </cell>
          <cell r="B67">
            <v>129600</v>
          </cell>
          <cell r="C67">
            <v>7.02</v>
          </cell>
          <cell r="D67">
            <v>47850</v>
          </cell>
          <cell r="E67">
            <v>33177</v>
          </cell>
          <cell r="F67">
            <v>144.19999999999999</v>
          </cell>
          <cell r="G67">
            <v>142.9</v>
          </cell>
          <cell r="H67">
            <v>155</v>
          </cell>
        </row>
        <row r="68">
          <cell r="A68" t="str">
            <v>Apr</v>
          </cell>
          <cell r="B68">
            <v>130700</v>
          </cell>
          <cell r="C68">
            <v>7.05</v>
          </cell>
          <cell r="D68">
            <v>47976</v>
          </cell>
          <cell r="E68">
            <v>33559</v>
          </cell>
          <cell r="F68">
            <v>143</v>
          </cell>
          <cell r="G68">
            <v>141.4</v>
          </cell>
          <cell r="H68">
            <v>155.4</v>
          </cell>
        </row>
        <row r="69">
          <cell r="A69" t="str">
            <v>May</v>
          </cell>
          <cell r="B69">
            <v>132800</v>
          </cell>
          <cell r="C69">
            <v>7.07</v>
          </cell>
          <cell r="D69">
            <v>48103</v>
          </cell>
          <cell r="E69">
            <v>34167</v>
          </cell>
          <cell r="F69">
            <v>140.80000000000001</v>
          </cell>
          <cell r="G69">
            <v>139.19999999999999</v>
          </cell>
          <cell r="H69">
            <v>151.9</v>
          </cell>
        </row>
        <row r="70">
          <cell r="A70" t="str">
            <v>Jun</v>
          </cell>
          <cell r="B70">
            <v>136900</v>
          </cell>
          <cell r="C70">
            <v>7.26</v>
          </cell>
          <cell r="D70">
            <v>48230</v>
          </cell>
          <cell r="E70">
            <v>35897</v>
          </cell>
          <cell r="F70">
            <v>134.4</v>
          </cell>
          <cell r="G70">
            <v>132.1</v>
          </cell>
          <cell r="H70">
            <v>145.19999999999999</v>
          </cell>
        </row>
        <row r="71">
          <cell r="A71" t="str">
            <v>Jul</v>
          </cell>
          <cell r="B71">
            <v>136000</v>
          </cell>
          <cell r="C71">
            <v>7.48</v>
          </cell>
          <cell r="D71">
            <v>48357</v>
          </cell>
          <cell r="E71">
            <v>36444</v>
          </cell>
          <cell r="F71">
            <v>132.69999999999999</v>
          </cell>
          <cell r="G71">
            <v>129.69999999999999</v>
          </cell>
          <cell r="H71">
            <v>142.6</v>
          </cell>
        </row>
        <row r="72">
          <cell r="A72" t="str">
            <v>Aug</v>
          </cell>
          <cell r="B72">
            <v>137400</v>
          </cell>
          <cell r="C72">
            <v>7.59</v>
          </cell>
          <cell r="D72">
            <v>48484</v>
          </cell>
          <cell r="E72">
            <v>37217</v>
          </cell>
          <cell r="F72">
            <v>130.30000000000001</v>
          </cell>
          <cell r="G72">
            <v>126.6</v>
          </cell>
          <cell r="H72">
            <v>141.69999999999999</v>
          </cell>
        </row>
        <row r="73">
          <cell r="A73" t="str">
            <v>Sep</v>
          </cell>
          <cell r="B73">
            <v>134400</v>
          </cell>
          <cell r="C73">
            <v>7.68</v>
          </cell>
          <cell r="D73">
            <v>48611</v>
          </cell>
          <cell r="E73">
            <v>36724</v>
          </cell>
          <cell r="F73">
            <v>132.4</v>
          </cell>
          <cell r="G73">
            <v>128.69999999999999</v>
          </cell>
          <cell r="H73">
            <v>144.30000000000001</v>
          </cell>
        </row>
        <row r="74">
          <cell r="A74" t="str">
            <v>Oct</v>
          </cell>
          <cell r="B74">
            <v>132500</v>
          </cell>
          <cell r="C74">
            <v>7.67</v>
          </cell>
          <cell r="D74">
            <v>48737</v>
          </cell>
          <cell r="E74">
            <v>36170</v>
          </cell>
          <cell r="F74">
            <v>134.69999999999999</v>
          </cell>
          <cell r="G74">
            <v>130.80000000000001</v>
          </cell>
          <cell r="H74">
            <v>147.4</v>
          </cell>
        </row>
        <row r="75">
          <cell r="A75" t="str">
            <v>Nov</v>
          </cell>
          <cell r="B75">
            <v>133200</v>
          </cell>
          <cell r="C75">
            <v>7.66</v>
          </cell>
          <cell r="D75">
            <v>48864</v>
          </cell>
          <cell r="E75">
            <v>36326</v>
          </cell>
          <cell r="F75">
            <v>134.5</v>
          </cell>
          <cell r="G75">
            <v>130.4</v>
          </cell>
          <cell r="H75">
            <v>147.30000000000001</v>
          </cell>
        </row>
        <row r="76">
          <cell r="A76" t="str">
            <v>Dec</v>
          </cell>
          <cell r="B76">
            <v>133700</v>
          </cell>
          <cell r="C76">
            <v>7.65</v>
          </cell>
          <cell r="D76">
            <v>48991</v>
          </cell>
          <cell r="E76">
            <v>36427</v>
          </cell>
          <cell r="F76">
            <v>134.5</v>
          </cell>
          <cell r="G76">
            <v>130</v>
          </cell>
          <cell r="H76">
            <v>147.30000000000001</v>
          </cell>
        </row>
        <row r="77">
          <cell r="A77">
            <v>2000</v>
          </cell>
        </row>
        <row r="78">
          <cell r="A78" t="str">
            <v>Jan</v>
          </cell>
          <cell r="B78">
            <v>133000</v>
          </cell>
          <cell r="C78">
            <v>7.9</v>
          </cell>
          <cell r="D78">
            <v>49174</v>
          </cell>
          <cell r="E78">
            <v>37104</v>
          </cell>
          <cell r="F78">
            <v>132.5</v>
          </cell>
          <cell r="G78">
            <v>130.5</v>
          </cell>
          <cell r="H78">
            <v>144.5</v>
          </cell>
        </row>
        <row r="79">
          <cell r="A79" t="str">
            <v>Feb</v>
          </cell>
          <cell r="B79">
            <v>133700</v>
          </cell>
          <cell r="C79">
            <v>8.06</v>
          </cell>
          <cell r="D79">
            <v>49399</v>
          </cell>
          <cell r="E79">
            <v>37872</v>
          </cell>
          <cell r="F79">
            <v>130.4</v>
          </cell>
          <cell r="G79">
            <v>128</v>
          </cell>
          <cell r="H79">
            <v>141.4</v>
          </cell>
        </row>
        <row r="80">
          <cell r="A80" t="str">
            <v>Mar</v>
          </cell>
          <cell r="B80">
            <v>134700</v>
          </cell>
          <cell r="C80">
            <v>8.11</v>
          </cell>
          <cell r="D80">
            <v>49623</v>
          </cell>
          <cell r="E80">
            <v>38352</v>
          </cell>
          <cell r="F80">
            <v>129.4</v>
          </cell>
          <cell r="G80">
            <v>127.2</v>
          </cell>
          <cell r="H80">
            <v>139.9</v>
          </cell>
        </row>
        <row r="81">
          <cell r="A81" t="str">
            <v>Apr</v>
          </cell>
          <cell r="B81">
            <v>136100</v>
          </cell>
          <cell r="C81">
            <v>8.1</v>
          </cell>
          <cell r="D81">
            <v>49847</v>
          </cell>
          <cell r="E81">
            <v>38736</v>
          </cell>
          <cell r="F81">
            <v>128.69999999999999</v>
          </cell>
          <cell r="G81">
            <v>126.6</v>
          </cell>
          <cell r="H81">
            <v>140.1</v>
          </cell>
        </row>
        <row r="82">
          <cell r="A82" t="str">
            <v>May</v>
          </cell>
          <cell r="B82">
            <v>137600</v>
          </cell>
          <cell r="C82">
            <v>8.19</v>
          </cell>
          <cell r="D82">
            <v>50072</v>
          </cell>
          <cell r="E82">
            <v>39456</v>
          </cell>
          <cell r="F82">
            <v>126.9</v>
          </cell>
          <cell r="G82">
            <v>124.8</v>
          </cell>
          <cell r="H82">
            <v>137.4</v>
          </cell>
        </row>
        <row r="83">
          <cell r="A83" t="str">
            <v>Jun</v>
          </cell>
          <cell r="B83">
            <v>140200</v>
          </cell>
          <cell r="C83">
            <v>8.27</v>
          </cell>
          <cell r="D83">
            <v>50296</v>
          </cell>
          <cell r="E83">
            <v>40512</v>
          </cell>
          <cell r="F83">
            <v>124.2</v>
          </cell>
          <cell r="G83">
            <v>122.1</v>
          </cell>
          <cell r="H83">
            <v>134.9</v>
          </cell>
        </row>
        <row r="84">
          <cell r="A84" t="str">
            <v>Jul</v>
          </cell>
          <cell r="B84">
            <v>143300</v>
          </cell>
          <cell r="C84">
            <v>8.1999999999999993</v>
          </cell>
          <cell r="D84">
            <v>50520</v>
          </cell>
          <cell r="E84">
            <v>41136</v>
          </cell>
          <cell r="F84">
            <v>122.8</v>
          </cell>
          <cell r="G84">
            <v>121.7</v>
          </cell>
          <cell r="H84">
            <v>134.1</v>
          </cell>
        </row>
        <row r="85">
          <cell r="A85" t="str">
            <v>Aug</v>
          </cell>
          <cell r="B85">
            <v>143200</v>
          </cell>
          <cell r="C85">
            <v>8.1</v>
          </cell>
          <cell r="D85">
            <v>50745</v>
          </cell>
          <cell r="E85">
            <v>40752</v>
          </cell>
          <cell r="F85">
            <v>124.5</v>
          </cell>
          <cell r="G85">
            <v>123.5</v>
          </cell>
          <cell r="H85">
            <v>136.80000000000001</v>
          </cell>
        </row>
        <row r="86">
          <cell r="A86" t="str">
            <v>Sep</v>
          </cell>
          <cell r="B86">
            <v>141600</v>
          </cell>
          <cell r="C86">
            <v>8</v>
          </cell>
          <cell r="D86">
            <v>50969</v>
          </cell>
          <cell r="E86">
            <v>39888</v>
          </cell>
          <cell r="F86">
            <v>127.8</v>
          </cell>
          <cell r="G86">
            <v>127.3</v>
          </cell>
          <cell r="H86">
            <v>140.30000000000001</v>
          </cell>
        </row>
        <row r="87">
          <cell r="A87" t="str">
            <v>Oct</v>
          </cell>
          <cell r="B87">
            <v>138600</v>
          </cell>
          <cell r="C87">
            <v>7.91</v>
          </cell>
          <cell r="D87">
            <v>51193</v>
          </cell>
          <cell r="E87">
            <v>38736</v>
          </cell>
          <cell r="F87">
            <v>132.19999999999999</v>
          </cell>
          <cell r="G87">
            <v>131.5</v>
          </cell>
          <cell r="H87">
            <v>146.69999999999999</v>
          </cell>
        </row>
        <row r="88">
          <cell r="A88" t="str">
            <v>Nov</v>
          </cell>
          <cell r="B88">
            <v>139500</v>
          </cell>
          <cell r="C88">
            <v>7.83</v>
          </cell>
          <cell r="D88">
            <v>51418</v>
          </cell>
          <cell r="E88">
            <v>38688</v>
          </cell>
          <cell r="F88">
            <v>132.9</v>
          </cell>
          <cell r="G88">
            <v>132.19999999999999</v>
          </cell>
          <cell r="H88">
            <v>147.19999999999999</v>
          </cell>
        </row>
        <row r="89">
          <cell r="A89" t="str">
            <v>Dec</v>
          </cell>
          <cell r="B89">
            <v>139700</v>
          </cell>
          <cell r="C89">
            <v>7.68</v>
          </cell>
          <cell r="D89">
            <v>51642</v>
          </cell>
          <cell r="E89">
            <v>38160</v>
          </cell>
          <cell r="F89">
            <v>135.30000000000001</v>
          </cell>
          <cell r="G89">
            <v>134.80000000000001</v>
          </cell>
          <cell r="H89">
            <v>149</v>
          </cell>
        </row>
        <row r="90">
          <cell r="A90">
            <v>2001</v>
          </cell>
        </row>
        <row r="91">
          <cell r="A91" t="str">
            <v>Jan</v>
          </cell>
          <cell r="B91">
            <v>137100</v>
          </cell>
          <cell r="C91">
            <v>7.34</v>
          </cell>
          <cell r="D91">
            <v>51849</v>
          </cell>
          <cell r="E91">
            <v>36240</v>
          </cell>
          <cell r="F91">
            <v>143.1</v>
          </cell>
          <cell r="G91">
            <v>142.9</v>
          </cell>
          <cell r="H91">
            <v>155.4</v>
          </cell>
        </row>
        <row r="92">
          <cell r="A92" t="str">
            <v>Feb</v>
          </cell>
          <cell r="B92">
            <v>138600</v>
          </cell>
          <cell r="C92">
            <v>7.18</v>
          </cell>
          <cell r="D92">
            <v>52055</v>
          </cell>
          <cell r="E92">
            <v>36048</v>
          </cell>
          <cell r="F92">
            <v>144.4</v>
          </cell>
          <cell r="G92">
            <v>145</v>
          </cell>
          <cell r="H92">
            <v>151.9</v>
          </cell>
        </row>
        <row r="93">
          <cell r="A93" t="str">
            <v>Mar</v>
          </cell>
          <cell r="B93">
            <v>143500</v>
          </cell>
          <cell r="C93">
            <v>7.11</v>
          </cell>
          <cell r="D93">
            <v>52262</v>
          </cell>
          <cell r="E93">
            <v>37056</v>
          </cell>
          <cell r="F93">
            <v>141</v>
          </cell>
          <cell r="G93">
            <v>141.6</v>
          </cell>
          <cell r="H93">
            <v>149.4</v>
          </cell>
        </row>
        <row r="95">
          <cell r="A95" t="str">
            <v>Note to ASPEN:</v>
          </cell>
        </row>
        <row r="96">
          <cell r="A96" t="str">
            <v>Bold=New and/or Revised data.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ime"/>
      <sheetName val="Qrtly Data"/>
      <sheetName val="Annual"/>
      <sheetName val="Table"/>
      <sheetName val="Historical Table"/>
      <sheetName val="paragraph"/>
    </sheetNames>
    <sheetDataSet>
      <sheetData sheetId="0" refreshError="1"/>
      <sheetData sheetId="1">
        <row r="8">
          <cell r="A8" t="str">
            <v>Q1</v>
          </cell>
          <cell r="B8" t="str">
            <v>first</v>
          </cell>
        </row>
        <row r="9">
          <cell r="A9" t="str">
            <v>Q2</v>
          </cell>
          <cell r="B9" t="str">
            <v>second</v>
          </cell>
        </row>
        <row r="10">
          <cell r="A10" t="str">
            <v>Q3</v>
          </cell>
          <cell r="B10" t="str">
            <v>third</v>
          </cell>
        </row>
        <row r="11">
          <cell r="A11" t="str">
            <v>Q4</v>
          </cell>
          <cell r="B11" t="str">
            <v>fourth</v>
          </cell>
        </row>
      </sheetData>
      <sheetData sheetId="2"/>
      <sheetData sheetId="3" refreshError="1"/>
      <sheetData sheetId="4" refreshError="1"/>
      <sheetData sheetId="5">
        <row r="49">
          <cell r="J49">
            <v>4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3"/>
  <sheetViews>
    <sheetView workbookViewId="0">
      <selection activeCell="J23" sqref="J23"/>
    </sheetView>
  </sheetViews>
  <sheetFormatPr defaultRowHeight="15" x14ac:dyDescent="0.25"/>
  <cols>
    <col min="1" max="1" width="30.28515625" customWidth="1"/>
    <col min="2" max="2" width="46.28515625" customWidth="1"/>
    <col min="3" max="3" width="6.42578125" customWidth="1"/>
    <col min="4" max="4" width="25" customWidth="1"/>
    <col min="5" max="5" width="47.42578125" customWidth="1"/>
  </cols>
  <sheetData>
    <row r="2" spans="1:5" ht="18" x14ac:dyDescent="0.25">
      <c r="A2" s="8" t="s">
        <v>408</v>
      </c>
      <c r="B2" s="9"/>
      <c r="C2" s="9"/>
      <c r="D2" s="9"/>
      <c r="E2" s="9"/>
    </row>
    <row r="3" spans="1:5" ht="15.75" x14ac:dyDescent="0.25">
      <c r="A3" s="10" t="s">
        <v>135</v>
      </c>
      <c r="B3" s="11"/>
      <c r="C3" s="11"/>
      <c r="D3" s="10" t="s">
        <v>136</v>
      </c>
      <c r="E3" s="9"/>
    </row>
    <row r="4" spans="1:5" x14ac:dyDescent="0.25">
      <c r="A4" s="9" t="s">
        <v>74</v>
      </c>
      <c r="B4" s="11" t="s">
        <v>94</v>
      </c>
      <c r="C4" s="11"/>
      <c r="D4" s="9" t="s">
        <v>74</v>
      </c>
      <c r="E4" s="11" t="s">
        <v>95</v>
      </c>
    </row>
    <row r="5" spans="1:5" x14ac:dyDescent="0.25">
      <c r="A5" s="9" t="s">
        <v>75</v>
      </c>
      <c r="B5" s="11" t="s">
        <v>96</v>
      </c>
      <c r="C5" s="11"/>
      <c r="D5" s="9" t="s">
        <v>75</v>
      </c>
      <c r="E5" s="11" t="s">
        <v>97</v>
      </c>
    </row>
    <row r="6" spans="1:5" x14ac:dyDescent="0.25">
      <c r="A6" s="9" t="s">
        <v>76</v>
      </c>
      <c r="B6" s="11" t="s">
        <v>98</v>
      </c>
      <c r="C6" s="11"/>
      <c r="D6" s="9" t="s">
        <v>76</v>
      </c>
      <c r="E6" s="11" t="s">
        <v>99</v>
      </c>
    </row>
    <row r="7" spans="1:5" x14ac:dyDescent="0.25">
      <c r="A7" s="9" t="s">
        <v>77</v>
      </c>
      <c r="B7" s="11" t="s">
        <v>100</v>
      </c>
      <c r="C7" s="11"/>
      <c r="D7" s="9" t="s">
        <v>77</v>
      </c>
      <c r="E7" s="11" t="s">
        <v>101</v>
      </c>
    </row>
    <row r="8" spans="1:5" x14ac:dyDescent="0.25">
      <c r="A8" s="9" t="s">
        <v>78</v>
      </c>
      <c r="B8" s="11" t="s">
        <v>102</v>
      </c>
      <c r="C8" s="11"/>
      <c r="D8" s="9" t="s">
        <v>78</v>
      </c>
      <c r="E8" s="11" t="s">
        <v>103</v>
      </c>
    </row>
    <row r="9" spans="1:5" x14ac:dyDescent="0.25">
      <c r="A9" s="9" t="s">
        <v>79</v>
      </c>
      <c r="B9" s="11" t="s">
        <v>109</v>
      </c>
      <c r="C9" s="11"/>
      <c r="D9" s="9" t="s">
        <v>79</v>
      </c>
      <c r="E9" s="11" t="s">
        <v>110</v>
      </c>
    </row>
    <row r="10" spans="1:5" x14ac:dyDescent="0.25">
      <c r="A10" s="9" t="s">
        <v>80</v>
      </c>
      <c r="B10" s="11" t="s">
        <v>111</v>
      </c>
      <c r="C10" s="11"/>
      <c r="D10" s="9" t="s">
        <v>80</v>
      </c>
      <c r="E10" s="11" t="s">
        <v>112</v>
      </c>
    </row>
    <row r="11" spans="1:5" x14ac:dyDescent="0.25">
      <c r="A11" s="9" t="s">
        <v>81</v>
      </c>
      <c r="B11" s="11" t="s">
        <v>113</v>
      </c>
      <c r="C11" s="11"/>
      <c r="D11" s="9" t="s">
        <v>81</v>
      </c>
      <c r="E11" s="11" t="s">
        <v>114</v>
      </c>
    </row>
    <row r="12" spans="1:5" x14ac:dyDescent="0.25">
      <c r="A12" s="9" t="s">
        <v>82</v>
      </c>
      <c r="B12" s="11" t="s">
        <v>115</v>
      </c>
      <c r="C12" s="11"/>
      <c r="D12" s="9" t="s">
        <v>82</v>
      </c>
      <c r="E12" s="11" t="s">
        <v>116</v>
      </c>
    </row>
    <row r="13" spans="1:5" x14ac:dyDescent="0.25">
      <c r="A13" s="9" t="s">
        <v>83</v>
      </c>
      <c r="B13" s="11" t="s">
        <v>117</v>
      </c>
      <c r="C13" s="11"/>
      <c r="D13" s="9" t="s">
        <v>83</v>
      </c>
      <c r="E13" s="11" t="s">
        <v>118</v>
      </c>
    </row>
    <row r="14" spans="1:5" x14ac:dyDescent="0.25">
      <c r="A14" s="1"/>
      <c r="D14" s="1"/>
    </row>
    <row r="15" spans="1:5" ht="18" x14ac:dyDescent="0.25">
      <c r="A15" s="16" t="s">
        <v>138</v>
      </c>
      <c r="B15" s="17"/>
      <c r="C15" s="17"/>
      <c r="D15" s="18"/>
      <c r="E15" s="17"/>
    </row>
    <row r="16" spans="1:5" x14ac:dyDescent="0.25">
      <c r="A16" s="19" t="s">
        <v>137</v>
      </c>
      <c r="B16" s="20"/>
      <c r="C16" s="20"/>
      <c r="D16" s="19" t="s">
        <v>141</v>
      </c>
      <c r="E16" s="17"/>
    </row>
    <row r="17" spans="1:5" x14ac:dyDescent="0.25">
      <c r="A17" s="18" t="s">
        <v>84</v>
      </c>
      <c r="B17" s="17" t="s">
        <v>64</v>
      </c>
      <c r="C17" s="17"/>
      <c r="D17" s="18" t="s">
        <v>84</v>
      </c>
      <c r="E17" s="17" t="s">
        <v>64</v>
      </c>
    </row>
    <row r="18" spans="1:5" x14ac:dyDescent="0.25">
      <c r="A18" s="18" t="s">
        <v>85</v>
      </c>
      <c r="B18" s="17" t="s">
        <v>65</v>
      </c>
      <c r="C18" s="17"/>
      <c r="D18" s="18" t="s">
        <v>85</v>
      </c>
      <c r="E18" s="17" t="s">
        <v>65</v>
      </c>
    </row>
    <row r="19" spans="1:5" x14ac:dyDescent="0.25">
      <c r="A19" s="18" t="s">
        <v>86</v>
      </c>
      <c r="B19" s="17" t="s">
        <v>66</v>
      </c>
      <c r="C19" s="17"/>
      <c r="D19" s="18" t="s">
        <v>86</v>
      </c>
      <c r="E19" s="17" t="s">
        <v>66</v>
      </c>
    </row>
    <row r="20" spans="1:5" x14ac:dyDescent="0.25">
      <c r="A20" s="18" t="s">
        <v>87</v>
      </c>
      <c r="B20" s="17" t="s">
        <v>67</v>
      </c>
      <c r="C20" s="17"/>
      <c r="D20" s="18" t="s">
        <v>87</v>
      </c>
      <c r="E20" s="17" t="s">
        <v>67</v>
      </c>
    </row>
    <row r="21" spans="1:5" x14ac:dyDescent="0.25">
      <c r="A21" s="18" t="s">
        <v>88</v>
      </c>
      <c r="B21" s="17" t="s">
        <v>68</v>
      </c>
      <c r="C21" s="17"/>
      <c r="D21" s="18" t="s">
        <v>88</v>
      </c>
      <c r="E21" s="17" t="s">
        <v>68</v>
      </c>
    </row>
    <row r="22" spans="1:5" x14ac:dyDescent="0.25">
      <c r="A22" s="1"/>
      <c r="D22" s="1"/>
    </row>
    <row r="23" spans="1:5" ht="18" x14ac:dyDescent="0.25">
      <c r="A23" s="24" t="s">
        <v>139</v>
      </c>
      <c r="B23" s="25"/>
      <c r="C23" s="25"/>
      <c r="D23" s="26"/>
      <c r="E23" s="25"/>
    </row>
    <row r="24" spans="1:5" x14ac:dyDescent="0.25">
      <c r="A24" s="27" t="s">
        <v>17</v>
      </c>
      <c r="B24" s="28"/>
      <c r="C24" s="28"/>
      <c r="D24" s="27" t="s">
        <v>141</v>
      </c>
      <c r="E24" s="25"/>
    </row>
    <row r="25" spans="1:5" x14ac:dyDescent="0.25">
      <c r="A25" s="26" t="s">
        <v>89</v>
      </c>
      <c r="B25" s="25" t="s">
        <v>69</v>
      </c>
      <c r="C25" s="25"/>
      <c r="D25" s="26" t="s">
        <v>89</v>
      </c>
      <c r="E25" s="25" t="s">
        <v>69</v>
      </c>
    </row>
    <row r="26" spans="1:5" x14ac:dyDescent="0.25">
      <c r="A26" s="26" t="s">
        <v>90</v>
      </c>
      <c r="B26" s="25" t="s">
        <v>70</v>
      </c>
      <c r="C26" s="25"/>
      <c r="D26" s="26" t="s">
        <v>90</v>
      </c>
      <c r="E26" s="25" t="s">
        <v>70</v>
      </c>
    </row>
    <row r="27" spans="1:5" x14ac:dyDescent="0.25">
      <c r="A27" s="26" t="s">
        <v>91</v>
      </c>
      <c r="B27" s="25" t="s">
        <v>71</v>
      </c>
      <c r="C27" s="25"/>
      <c r="D27" s="26" t="s">
        <v>91</v>
      </c>
      <c r="E27" s="25" t="s">
        <v>71</v>
      </c>
    </row>
    <row r="28" spans="1:5" x14ac:dyDescent="0.25">
      <c r="A28" s="26" t="s">
        <v>92</v>
      </c>
      <c r="B28" s="25" t="s">
        <v>72</v>
      </c>
      <c r="C28" s="25"/>
      <c r="D28" s="26" t="s">
        <v>92</v>
      </c>
      <c r="E28" s="25" t="s">
        <v>72</v>
      </c>
    </row>
    <row r="29" spans="1:5" x14ac:dyDescent="0.25">
      <c r="A29" s="26" t="s">
        <v>93</v>
      </c>
      <c r="B29" s="25" t="s">
        <v>73</v>
      </c>
      <c r="C29" s="25"/>
      <c r="D29" s="26" t="s">
        <v>93</v>
      </c>
      <c r="E29" s="25" t="s">
        <v>73</v>
      </c>
    </row>
    <row r="30" spans="1:5" x14ac:dyDescent="0.25">
      <c r="A30" s="1"/>
      <c r="D30" s="1"/>
    </row>
    <row r="31" spans="1:5" ht="18" x14ac:dyDescent="0.25">
      <c r="A31" s="29" t="s">
        <v>148</v>
      </c>
      <c r="B31" s="30"/>
      <c r="C31" s="30"/>
      <c r="D31" s="30"/>
      <c r="E31" s="30"/>
    </row>
    <row r="32" spans="1:5" x14ac:dyDescent="0.25">
      <c r="A32" s="34" t="s">
        <v>405</v>
      </c>
      <c r="B32" s="30"/>
      <c r="C32" s="30"/>
      <c r="D32" s="34" t="s">
        <v>41</v>
      </c>
      <c r="E32" s="30"/>
    </row>
    <row r="33" spans="1:5" x14ac:dyDescent="0.25">
      <c r="A33" s="31" t="s">
        <v>18</v>
      </c>
      <c r="B33" s="32" t="s">
        <v>29</v>
      </c>
      <c r="C33" s="30"/>
      <c r="D33" s="31" t="s">
        <v>18</v>
      </c>
      <c r="E33" s="32" t="s">
        <v>29</v>
      </c>
    </row>
    <row r="34" spans="1:5" x14ac:dyDescent="0.25">
      <c r="A34" s="33" t="s">
        <v>19</v>
      </c>
      <c r="B34" s="32" t="s">
        <v>30</v>
      </c>
      <c r="C34" s="30"/>
      <c r="D34" s="33" t="s">
        <v>19</v>
      </c>
      <c r="E34" s="32" t="s">
        <v>30</v>
      </c>
    </row>
    <row r="35" spans="1:5" x14ac:dyDescent="0.25">
      <c r="A35" s="33" t="s">
        <v>20</v>
      </c>
      <c r="B35" s="32" t="s">
        <v>31</v>
      </c>
      <c r="C35" s="30"/>
      <c r="D35" s="33" t="s">
        <v>20</v>
      </c>
      <c r="E35" s="32" t="s">
        <v>31</v>
      </c>
    </row>
    <row r="36" spans="1:5" x14ac:dyDescent="0.25">
      <c r="A36" s="33" t="s">
        <v>21</v>
      </c>
      <c r="B36" s="32" t="s">
        <v>32</v>
      </c>
      <c r="C36" s="30"/>
      <c r="D36" s="33" t="s">
        <v>21</v>
      </c>
      <c r="E36" s="32" t="s">
        <v>32</v>
      </c>
    </row>
    <row r="37" spans="1:5" x14ac:dyDescent="0.25">
      <c r="A37" s="33" t="s">
        <v>22</v>
      </c>
      <c r="B37" s="32" t="s">
        <v>33</v>
      </c>
      <c r="C37" s="30"/>
      <c r="D37" s="33" t="s">
        <v>22</v>
      </c>
      <c r="E37" s="32" t="s">
        <v>33</v>
      </c>
    </row>
    <row r="38" spans="1:5" x14ac:dyDescent="0.25">
      <c r="A38" s="33" t="s">
        <v>23</v>
      </c>
      <c r="B38" s="32" t="s">
        <v>34</v>
      </c>
      <c r="C38" s="30"/>
      <c r="D38" s="33" t="s">
        <v>23</v>
      </c>
      <c r="E38" s="32" t="s">
        <v>34</v>
      </c>
    </row>
    <row r="39" spans="1:5" x14ac:dyDescent="0.25">
      <c r="A39" s="33" t="s">
        <v>24</v>
      </c>
      <c r="B39" s="32" t="s">
        <v>35</v>
      </c>
      <c r="C39" s="30"/>
      <c r="D39" s="33" t="s">
        <v>24</v>
      </c>
      <c r="E39" s="32" t="s">
        <v>35</v>
      </c>
    </row>
    <row r="40" spans="1:5" x14ac:dyDescent="0.25">
      <c r="A40" s="33" t="s">
        <v>25</v>
      </c>
      <c r="B40" s="32" t="s">
        <v>36</v>
      </c>
      <c r="C40" s="30"/>
      <c r="D40" s="33" t="s">
        <v>25</v>
      </c>
      <c r="E40" s="32" t="s">
        <v>36</v>
      </c>
    </row>
    <row r="41" spans="1:5" x14ac:dyDescent="0.25">
      <c r="A41" s="33" t="s">
        <v>26</v>
      </c>
      <c r="B41" s="32" t="s">
        <v>37</v>
      </c>
      <c r="C41" s="30"/>
      <c r="D41" s="33" t="s">
        <v>26</v>
      </c>
      <c r="E41" s="32" t="s">
        <v>37</v>
      </c>
    </row>
    <row r="42" spans="1:5" x14ac:dyDescent="0.25">
      <c r="A42" s="33" t="s">
        <v>27</v>
      </c>
      <c r="B42" s="32" t="s">
        <v>38</v>
      </c>
      <c r="C42" s="30"/>
      <c r="D42" s="33" t="s">
        <v>27</v>
      </c>
      <c r="E42" s="32" t="s">
        <v>38</v>
      </c>
    </row>
    <row r="43" spans="1:5" x14ac:dyDescent="0.25">
      <c r="A43" s="33" t="s">
        <v>40</v>
      </c>
      <c r="B43" s="32" t="s">
        <v>39</v>
      </c>
      <c r="C43" s="30"/>
      <c r="D43" s="33" t="s">
        <v>40</v>
      </c>
      <c r="E43" s="32" t="s">
        <v>39</v>
      </c>
    </row>
    <row r="45" spans="1:5" ht="18" x14ac:dyDescent="0.25">
      <c r="A45" s="38" t="s">
        <v>42</v>
      </c>
      <c r="B45" s="35"/>
      <c r="C45" s="35"/>
      <c r="D45" s="35"/>
      <c r="E45" s="35"/>
    </row>
    <row r="46" spans="1:5" ht="15.75" x14ac:dyDescent="0.25">
      <c r="A46" s="39" t="s">
        <v>55</v>
      </c>
      <c r="B46" s="40"/>
      <c r="C46" s="40"/>
      <c r="D46" s="41" t="s">
        <v>407</v>
      </c>
      <c r="E46" s="35"/>
    </row>
    <row r="47" spans="1:5" x14ac:dyDescent="0.25">
      <c r="A47" s="35" t="s">
        <v>48</v>
      </c>
      <c r="B47" s="35" t="s">
        <v>49</v>
      </c>
      <c r="C47" s="35"/>
      <c r="D47" s="36" t="s">
        <v>48</v>
      </c>
      <c r="E47" s="35" t="s">
        <v>49</v>
      </c>
    </row>
    <row r="48" spans="1:5" x14ac:dyDescent="0.25">
      <c r="A48" s="35" t="s">
        <v>43</v>
      </c>
      <c r="B48" s="35" t="s">
        <v>50</v>
      </c>
      <c r="C48" s="35"/>
      <c r="D48" s="37" t="s">
        <v>43</v>
      </c>
      <c r="E48" s="35" t="s">
        <v>50</v>
      </c>
    </row>
    <row r="49" spans="1:5" x14ac:dyDescent="0.25">
      <c r="A49" s="35" t="s">
        <v>44</v>
      </c>
      <c r="B49" s="35" t="s">
        <v>51</v>
      </c>
      <c r="C49" s="35"/>
      <c r="D49" s="37" t="s">
        <v>44</v>
      </c>
      <c r="E49" s="35" t="s">
        <v>51</v>
      </c>
    </row>
    <row r="50" spans="1:5" x14ac:dyDescent="0.25">
      <c r="A50" s="35" t="s">
        <v>45</v>
      </c>
      <c r="B50" s="35" t="s">
        <v>52</v>
      </c>
      <c r="C50" s="35"/>
      <c r="D50" s="37" t="s">
        <v>45</v>
      </c>
      <c r="E50" s="35" t="s">
        <v>52</v>
      </c>
    </row>
    <row r="51" spans="1:5" x14ac:dyDescent="0.25">
      <c r="A51" s="35" t="s">
        <v>46</v>
      </c>
      <c r="B51" s="35" t="s">
        <v>53</v>
      </c>
      <c r="C51" s="35"/>
      <c r="D51" s="37" t="s">
        <v>46</v>
      </c>
      <c r="E51" s="35" t="s">
        <v>53</v>
      </c>
    </row>
    <row r="52" spans="1:5" x14ac:dyDescent="0.25">
      <c r="A52" s="35" t="s">
        <v>47</v>
      </c>
      <c r="B52" s="35" t="s">
        <v>54</v>
      </c>
      <c r="C52" s="35"/>
      <c r="D52" s="37" t="s">
        <v>47</v>
      </c>
      <c r="E52" s="35" t="s">
        <v>54</v>
      </c>
    </row>
    <row r="54" spans="1:5" ht="18" x14ac:dyDescent="0.25">
      <c r="A54" s="5" t="s">
        <v>7</v>
      </c>
      <c r="B54" s="6"/>
      <c r="C54" s="6"/>
      <c r="D54" s="6"/>
      <c r="E54" s="6"/>
    </row>
    <row r="55" spans="1:5" ht="15.75" x14ac:dyDescent="0.25">
      <c r="A55" s="7" t="s">
        <v>9</v>
      </c>
      <c r="B55" s="7"/>
      <c r="C55" s="7"/>
      <c r="D55" s="7" t="s">
        <v>10</v>
      </c>
      <c r="E55" s="6"/>
    </row>
    <row r="56" spans="1:5" x14ac:dyDescent="0.25">
      <c r="A56" s="6" t="s">
        <v>1</v>
      </c>
      <c r="B56" s="6" t="s">
        <v>104</v>
      </c>
      <c r="C56" s="6"/>
      <c r="D56" s="6" t="s">
        <v>1</v>
      </c>
      <c r="E56" s="6" t="s">
        <v>104</v>
      </c>
    </row>
    <row r="57" spans="1:5" x14ac:dyDescent="0.25">
      <c r="A57" s="6" t="s">
        <v>57</v>
      </c>
      <c r="B57" s="6" t="s">
        <v>105</v>
      </c>
      <c r="C57" s="6"/>
      <c r="D57" s="6" t="s">
        <v>57</v>
      </c>
      <c r="E57" s="6" t="s">
        <v>105</v>
      </c>
    </row>
    <row r="58" spans="1:5" x14ac:dyDescent="0.25">
      <c r="A58" s="6" t="s">
        <v>58</v>
      </c>
      <c r="B58" s="6" t="s">
        <v>106</v>
      </c>
      <c r="C58" s="6"/>
      <c r="D58" s="6" t="s">
        <v>58</v>
      </c>
      <c r="E58" s="6" t="s">
        <v>106</v>
      </c>
    </row>
    <row r="59" spans="1:5" x14ac:dyDescent="0.25">
      <c r="A59" s="6" t="s">
        <v>59</v>
      </c>
      <c r="B59" s="6" t="s">
        <v>107</v>
      </c>
      <c r="C59" s="6"/>
      <c r="D59" s="6" t="s">
        <v>59</v>
      </c>
      <c r="E59" s="6" t="s">
        <v>107</v>
      </c>
    </row>
    <row r="60" spans="1:5" x14ac:dyDescent="0.25">
      <c r="A60" s="6" t="s">
        <v>60</v>
      </c>
      <c r="B60" s="6" t="s">
        <v>108</v>
      </c>
      <c r="C60" s="6"/>
      <c r="D60" s="6" t="s">
        <v>60</v>
      </c>
      <c r="E60" s="6" t="s">
        <v>108</v>
      </c>
    </row>
    <row r="61" spans="1:5" x14ac:dyDescent="0.25">
      <c r="A61" s="6" t="s">
        <v>56</v>
      </c>
      <c r="B61" s="6" t="s">
        <v>8</v>
      </c>
      <c r="C61" s="6"/>
      <c r="D61" s="6" t="s">
        <v>56</v>
      </c>
      <c r="E61" s="6" t="s">
        <v>8</v>
      </c>
    </row>
    <row r="63" spans="1:5" ht="18" x14ac:dyDescent="0.25">
      <c r="A63" s="16" t="s">
        <v>61</v>
      </c>
      <c r="B63" s="17"/>
      <c r="C63" s="17"/>
      <c r="D63" s="17"/>
      <c r="E63" s="17"/>
    </row>
    <row r="64" spans="1:5" ht="15.75" x14ac:dyDescent="0.25">
      <c r="A64" s="43" t="s">
        <v>62</v>
      </c>
      <c r="B64" s="44"/>
      <c r="C64" s="44"/>
      <c r="D64" s="43" t="s">
        <v>63</v>
      </c>
      <c r="E64" s="17"/>
    </row>
    <row r="65" spans="1:5" x14ac:dyDescent="0.25">
      <c r="A65" s="45" t="s">
        <v>128</v>
      </c>
      <c r="B65" s="17" t="s">
        <v>149</v>
      </c>
      <c r="C65" s="17"/>
      <c r="D65" s="45" t="s">
        <v>128</v>
      </c>
      <c r="E65" s="17" t="s">
        <v>149</v>
      </c>
    </row>
    <row r="66" spans="1:5" x14ac:dyDescent="0.25">
      <c r="A66" s="46" t="s">
        <v>127</v>
      </c>
      <c r="B66" s="17" t="s">
        <v>152</v>
      </c>
      <c r="C66" s="17"/>
      <c r="D66" s="46" t="s">
        <v>127</v>
      </c>
      <c r="E66" s="17" t="s">
        <v>152</v>
      </c>
    </row>
    <row r="67" spans="1:5" x14ac:dyDescent="0.25">
      <c r="A67" s="45" t="s">
        <v>129</v>
      </c>
      <c r="B67" s="17" t="s">
        <v>150</v>
      </c>
      <c r="C67" s="17"/>
      <c r="D67" s="45" t="s">
        <v>129</v>
      </c>
      <c r="E67" s="17" t="s">
        <v>150</v>
      </c>
    </row>
    <row r="68" spans="1:5" x14ac:dyDescent="0.25">
      <c r="A68" s="45" t="s">
        <v>130</v>
      </c>
      <c r="B68" s="17" t="s">
        <v>151</v>
      </c>
      <c r="C68" s="17"/>
      <c r="D68" s="45" t="s">
        <v>130</v>
      </c>
      <c r="E68" s="17" t="s">
        <v>151</v>
      </c>
    </row>
    <row r="69" spans="1:5" x14ac:dyDescent="0.25">
      <c r="A69" s="45" t="s">
        <v>131</v>
      </c>
      <c r="B69" s="17" t="s">
        <v>153</v>
      </c>
      <c r="C69" s="17"/>
      <c r="D69" s="45" t="s">
        <v>131</v>
      </c>
      <c r="E69" s="17" t="s">
        <v>153</v>
      </c>
    </row>
    <row r="70" spans="1:5" x14ac:dyDescent="0.25">
      <c r="A70" s="45"/>
      <c r="B70" s="17"/>
      <c r="C70" s="17"/>
      <c r="D70" s="45" t="s">
        <v>132</v>
      </c>
      <c r="E70" s="17" t="s">
        <v>154</v>
      </c>
    </row>
    <row r="72" spans="1:5" ht="20.25" x14ac:dyDescent="0.25">
      <c r="A72" s="47" t="s">
        <v>140</v>
      </c>
      <c r="B72" s="11"/>
      <c r="C72" s="11"/>
      <c r="D72" s="11"/>
      <c r="E72" s="11"/>
    </row>
    <row r="73" spans="1:5" ht="15.75" x14ac:dyDescent="0.25">
      <c r="A73" s="54" t="s">
        <v>133</v>
      </c>
      <c r="B73" s="11"/>
      <c r="C73" s="11"/>
      <c r="D73" s="54" t="s">
        <v>134</v>
      </c>
      <c r="E73" s="11"/>
    </row>
    <row r="74" spans="1:5" x14ac:dyDescent="0.25">
      <c r="A74" s="48" t="s">
        <v>119</v>
      </c>
      <c r="B74" s="49" t="s">
        <v>123</v>
      </c>
      <c r="C74" s="11"/>
      <c r="D74" s="48" t="s">
        <v>119</v>
      </c>
      <c r="E74" s="49" t="s">
        <v>123</v>
      </c>
    </row>
    <row r="75" spans="1:5" x14ac:dyDescent="0.25">
      <c r="A75" s="48" t="s">
        <v>120</v>
      </c>
      <c r="B75" s="49" t="s">
        <v>124</v>
      </c>
      <c r="C75" s="11"/>
      <c r="D75" s="48" t="s">
        <v>120</v>
      </c>
      <c r="E75" s="49" t="s">
        <v>124</v>
      </c>
    </row>
    <row r="76" spans="1:5" x14ac:dyDescent="0.25">
      <c r="A76" s="48" t="s">
        <v>121</v>
      </c>
      <c r="B76" s="49" t="s">
        <v>125</v>
      </c>
      <c r="C76" s="11"/>
      <c r="D76" s="48" t="s">
        <v>121</v>
      </c>
      <c r="E76" s="49" t="s">
        <v>125</v>
      </c>
    </row>
    <row r="77" spans="1:5" x14ac:dyDescent="0.25">
      <c r="A77" s="48" t="s">
        <v>122</v>
      </c>
      <c r="B77" s="49" t="s">
        <v>126</v>
      </c>
      <c r="C77" s="11"/>
      <c r="D77" s="48" t="s">
        <v>122</v>
      </c>
      <c r="E77" s="49" t="s">
        <v>126</v>
      </c>
    </row>
    <row r="79" spans="1:5" ht="20.25" x14ac:dyDescent="0.25">
      <c r="A79" s="55" t="s">
        <v>142</v>
      </c>
      <c r="B79" s="56"/>
      <c r="C79" s="56"/>
      <c r="D79" s="56"/>
      <c r="E79" s="56"/>
    </row>
    <row r="80" spans="1:5" ht="15.75" x14ac:dyDescent="0.25">
      <c r="A80" s="56"/>
      <c r="B80" s="56"/>
      <c r="C80" s="56"/>
      <c r="D80" s="57" t="s">
        <v>144</v>
      </c>
      <c r="E80" s="56"/>
    </row>
    <row r="81" spans="1:5" x14ac:dyDescent="0.25">
      <c r="A81" s="56"/>
      <c r="B81" s="56"/>
      <c r="C81" s="56"/>
      <c r="D81" s="56" t="s">
        <v>143</v>
      </c>
      <c r="E81" s="56" t="s">
        <v>145</v>
      </c>
    </row>
    <row r="83" spans="1:5" ht="79.5" customHeight="1" x14ac:dyDescent="0.25">
      <c r="A83" s="195" t="s">
        <v>393</v>
      </c>
      <c r="B83" s="195"/>
      <c r="C83" s="195"/>
      <c r="D83" s="195"/>
      <c r="E83" s="195"/>
    </row>
  </sheetData>
  <mergeCells count="1">
    <mergeCell ref="A83:E8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62"/>
  <sheetViews>
    <sheetView zoomScale="130" zoomScaleNormal="130" workbookViewId="0">
      <pane ySplit="1" topLeftCell="A750" activePane="bottomLeft" state="frozen"/>
      <selection activeCell="H256" sqref="H256"/>
      <selection pane="bottomLeft" activeCell="L759" sqref="L759"/>
    </sheetView>
  </sheetViews>
  <sheetFormatPr defaultColWidth="14.7109375" defaultRowHeight="12.75" x14ac:dyDescent="0.2"/>
  <cols>
    <col min="1" max="1" width="9.140625" style="84" bestFit="1" customWidth="1"/>
    <col min="2" max="3" width="11.85546875" style="84" customWidth="1"/>
    <col min="4" max="4" width="12.7109375" style="84" customWidth="1"/>
    <col min="5" max="5" width="10.5703125" style="84" customWidth="1"/>
    <col min="6" max="6" width="11.140625" style="84" customWidth="1"/>
    <col min="7" max="8" width="10.5703125" style="84" bestFit="1" customWidth="1"/>
    <col min="9" max="9" width="11.42578125" style="84" bestFit="1" customWidth="1"/>
    <col min="10" max="10" width="9.28515625" style="84" bestFit="1" customWidth="1"/>
    <col min="11" max="11" width="9.85546875" style="84" bestFit="1" customWidth="1"/>
    <col min="12" max="16384" width="14.7109375" style="84"/>
  </cols>
  <sheetData>
    <row r="1" spans="1:11" x14ac:dyDescent="0.2">
      <c r="A1" s="84" t="s">
        <v>6</v>
      </c>
      <c r="B1" s="84" t="s">
        <v>74</v>
      </c>
      <c r="C1" s="84" t="s">
        <v>75</v>
      </c>
      <c r="D1" s="84" t="s">
        <v>358</v>
      </c>
      <c r="E1" s="84" t="s">
        <v>77</v>
      </c>
      <c r="F1" s="84" t="s">
        <v>78</v>
      </c>
      <c r="G1" s="84" t="s">
        <v>79</v>
      </c>
      <c r="H1" s="84" t="s">
        <v>80</v>
      </c>
      <c r="I1" s="84" t="s">
        <v>359</v>
      </c>
      <c r="J1" s="84" t="s">
        <v>82</v>
      </c>
      <c r="K1" s="84" t="s">
        <v>83</v>
      </c>
    </row>
    <row r="2" spans="1:11" x14ac:dyDescent="0.2">
      <c r="A2" s="172">
        <v>23012</v>
      </c>
      <c r="B2" s="93">
        <v>591</v>
      </c>
    </row>
    <row r="3" spans="1:11" x14ac:dyDescent="0.2">
      <c r="A3" s="172">
        <v>23043</v>
      </c>
      <c r="B3" s="93">
        <v>464</v>
      </c>
    </row>
    <row r="4" spans="1:11" x14ac:dyDescent="0.2">
      <c r="A4" s="172">
        <v>23071</v>
      </c>
      <c r="B4" s="93">
        <v>461</v>
      </c>
    </row>
    <row r="5" spans="1:11" x14ac:dyDescent="0.2">
      <c r="A5" s="172">
        <v>23102</v>
      </c>
      <c r="B5" s="93">
        <v>605</v>
      </c>
    </row>
    <row r="6" spans="1:11" x14ac:dyDescent="0.2">
      <c r="A6" s="172">
        <v>23132</v>
      </c>
      <c r="B6" s="93">
        <v>586</v>
      </c>
    </row>
    <row r="7" spans="1:11" x14ac:dyDescent="0.2">
      <c r="A7" s="172">
        <v>23163</v>
      </c>
      <c r="B7" s="93">
        <v>526</v>
      </c>
    </row>
    <row r="8" spans="1:11" x14ac:dyDescent="0.2">
      <c r="A8" s="172">
        <v>23193</v>
      </c>
      <c r="B8" s="93">
        <v>665</v>
      </c>
    </row>
    <row r="9" spans="1:11" x14ac:dyDescent="0.2">
      <c r="A9" s="172">
        <v>23224</v>
      </c>
      <c r="B9" s="93">
        <v>570</v>
      </c>
    </row>
    <row r="10" spans="1:11" x14ac:dyDescent="0.2">
      <c r="A10" s="172">
        <v>23255</v>
      </c>
      <c r="B10" s="93">
        <v>590</v>
      </c>
    </row>
    <row r="11" spans="1:11" x14ac:dyDescent="0.2">
      <c r="A11" s="172">
        <v>23285</v>
      </c>
      <c r="B11" s="93">
        <v>567</v>
      </c>
    </row>
    <row r="12" spans="1:11" x14ac:dyDescent="0.2">
      <c r="A12" s="172">
        <v>23316</v>
      </c>
      <c r="B12" s="93">
        <v>579</v>
      </c>
    </row>
    <row r="13" spans="1:11" x14ac:dyDescent="0.2">
      <c r="A13" s="172">
        <v>23346</v>
      </c>
      <c r="B13" s="93">
        <v>514</v>
      </c>
    </row>
    <row r="14" spans="1:11" x14ac:dyDescent="0.2">
      <c r="A14" s="172">
        <v>23377</v>
      </c>
      <c r="B14" s="93">
        <v>549</v>
      </c>
    </row>
    <row r="15" spans="1:11" x14ac:dyDescent="0.2">
      <c r="A15" s="172">
        <v>23408</v>
      </c>
      <c r="B15" s="93">
        <v>609</v>
      </c>
    </row>
    <row r="16" spans="1:11" x14ac:dyDescent="0.2">
      <c r="A16" s="172">
        <v>23437</v>
      </c>
      <c r="B16" s="93">
        <v>562</v>
      </c>
    </row>
    <row r="17" spans="1:2" x14ac:dyDescent="0.2">
      <c r="A17" s="172">
        <v>23468</v>
      </c>
      <c r="B17" s="93">
        <v>559</v>
      </c>
    </row>
    <row r="18" spans="1:2" x14ac:dyDescent="0.2">
      <c r="A18" s="172">
        <v>23498</v>
      </c>
      <c r="B18" s="93">
        <v>523</v>
      </c>
    </row>
    <row r="19" spans="1:2" x14ac:dyDescent="0.2">
      <c r="A19" s="172">
        <v>23529</v>
      </c>
      <c r="B19" s="93">
        <v>580</v>
      </c>
    </row>
    <row r="20" spans="1:2" x14ac:dyDescent="0.2">
      <c r="A20" s="172">
        <v>23559</v>
      </c>
      <c r="B20" s="93">
        <v>575</v>
      </c>
    </row>
    <row r="21" spans="1:2" x14ac:dyDescent="0.2">
      <c r="A21" s="172">
        <v>23590</v>
      </c>
      <c r="B21" s="93">
        <v>582</v>
      </c>
    </row>
    <row r="22" spans="1:2" x14ac:dyDescent="0.2">
      <c r="A22" s="172">
        <v>23621</v>
      </c>
      <c r="B22" s="93">
        <v>590</v>
      </c>
    </row>
    <row r="23" spans="1:2" x14ac:dyDescent="0.2">
      <c r="A23" s="172">
        <v>23651</v>
      </c>
      <c r="B23" s="93">
        <v>583</v>
      </c>
    </row>
    <row r="24" spans="1:2" x14ac:dyDescent="0.2">
      <c r="A24" s="172">
        <v>23682</v>
      </c>
      <c r="B24" s="93">
        <v>548</v>
      </c>
    </row>
    <row r="25" spans="1:2" x14ac:dyDescent="0.2">
      <c r="A25" s="172">
        <v>23712</v>
      </c>
      <c r="B25" s="93">
        <v>540</v>
      </c>
    </row>
    <row r="26" spans="1:2" x14ac:dyDescent="0.2">
      <c r="A26" s="172">
        <v>23743</v>
      </c>
      <c r="B26" s="93">
        <v>533</v>
      </c>
    </row>
    <row r="27" spans="1:2" x14ac:dyDescent="0.2">
      <c r="A27" s="172">
        <v>23774</v>
      </c>
      <c r="B27" s="93">
        <v>559</v>
      </c>
    </row>
    <row r="28" spans="1:2" x14ac:dyDescent="0.2">
      <c r="A28" s="172">
        <v>23802</v>
      </c>
      <c r="B28" s="93">
        <v>556</v>
      </c>
    </row>
    <row r="29" spans="1:2" x14ac:dyDescent="0.2">
      <c r="A29" s="172">
        <v>23833</v>
      </c>
      <c r="B29" s="93">
        <v>555</v>
      </c>
    </row>
    <row r="30" spans="1:2" x14ac:dyDescent="0.2">
      <c r="A30" s="172">
        <v>23863</v>
      </c>
      <c r="B30" s="93">
        <v>544</v>
      </c>
    </row>
    <row r="31" spans="1:2" x14ac:dyDescent="0.2">
      <c r="A31" s="172">
        <v>23894</v>
      </c>
      <c r="B31" s="93">
        <v>614</v>
      </c>
    </row>
    <row r="32" spans="1:2" x14ac:dyDescent="0.2">
      <c r="A32" s="172">
        <v>23924</v>
      </c>
      <c r="B32" s="93">
        <v>554</v>
      </c>
    </row>
    <row r="33" spans="1:2" x14ac:dyDescent="0.2">
      <c r="A33" s="172">
        <v>23955</v>
      </c>
      <c r="B33" s="93">
        <v>615</v>
      </c>
    </row>
    <row r="34" spans="1:2" x14ac:dyDescent="0.2">
      <c r="A34" s="172">
        <v>23986</v>
      </c>
      <c r="B34" s="93">
        <v>587</v>
      </c>
    </row>
    <row r="35" spans="1:2" x14ac:dyDescent="0.2">
      <c r="A35" s="172">
        <v>24016</v>
      </c>
      <c r="B35" s="93">
        <v>555</v>
      </c>
    </row>
    <row r="36" spans="1:2" x14ac:dyDescent="0.2">
      <c r="A36" s="172">
        <v>24047</v>
      </c>
      <c r="B36" s="93">
        <v>616</v>
      </c>
    </row>
    <row r="37" spans="1:2" x14ac:dyDescent="0.2">
      <c r="A37" s="172">
        <v>24077</v>
      </c>
      <c r="B37" s="93">
        <v>609</v>
      </c>
    </row>
    <row r="38" spans="1:2" x14ac:dyDescent="0.2">
      <c r="A38" s="172">
        <v>24108</v>
      </c>
      <c r="B38" s="93">
        <v>599</v>
      </c>
    </row>
    <row r="39" spans="1:2" x14ac:dyDescent="0.2">
      <c r="A39" s="172">
        <v>24139</v>
      </c>
      <c r="B39" s="93">
        <v>541</v>
      </c>
    </row>
    <row r="40" spans="1:2" x14ac:dyDescent="0.2">
      <c r="A40" s="172">
        <v>24167</v>
      </c>
      <c r="B40" s="93">
        <v>557</v>
      </c>
    </row>
    <row r="41" spans="1:2" x14ac:dyDescent="0.2">
      <c r="A41" s="172">
        <v>24198</v>
      </c>
      <c r="B41" s="93">
        <v>545</v>
      </c>
    </row>
    <row r="42" spans="1:2" x14ac:dyDescent="0.2">
      <c r="A42" s="172">
        <v>24228</v>
      </c>
      <c r="B42" s="93">
        <v>499</v>
      </c>
    </row>
    <row r="43" spans="1:2" x14ac:dyDescent="0.2">
      <c r="A43" s="172">
        <v>24259</v>
      </c>
      <c r="B43" s="93">
        <v>434</v>
      </c>
    </row>
    <row r="44" spans="1:2" x14ac:dyDescent="0.2">
      <c r="A44" s="172">
        <v>24289</v>
      </c>
      <c r="B44" s="93">
        <v>435</v>
      </c>
    </row>
    <row r="45" spans="1:2" x14ac:dyDescent="0.2">
      <c r="A45" s="172">
        <v>24320</v>
      </c>
      <c r="B45" s="93">
        <v>377</v>
      </c>
    </row>
    <row r="46" spans="1:2" x14ac:dyDescent="0.2">
      <c r="A46" s="172">
        <v>24351</v>
      </c>
      <c r="B46" s="93">
        <v>358</v>
      </c>
    </row>
    <row r="47" spans="1:2" x14ac:dyDescent="0.2">
      <c r="A47" s="172">
        <v>24381</v>
      </c>
      <c r="B47" s="93">
        <v>387</v>
      </c>
    </row>
    <row r="48" spans="1:2" x14ac:dyDescent="0.2">
      <c r="A48" s="172">
        <v>24412</v>
      </c>
      <c r="B48" s="93">
        <v>382</v>
      </c>
    </row>
    <row r="49" spans="1:2" x14ac:dyDescent="0.2">
      <c r="A49" s="172">
        <v>24442</v>
      </c>
      <c r="B49" s="93">
        <v>369</v>
      </c>
    </row>
    <row r="50" spans="1:2" x14ac:dyDescent="0.2">
      <c r="A50" s="172">
        <v>24473</v>
      </c>
      <c r="B50" s="93">
        <v>416</v>
      </c>
    </row>
    <row r="51" spans="1:2" x14ac:dyDescent="0.2">
      <c r="A51" s="172">
        <v>24504</v>
      </c>
      <c r="B51" s="93">
        <v>408</v>
      </c>
    </row>
    <row r="52" spans="1:2" x14ac:dyDescent="0.2">
      <c r="A52" s="172">
        <v>24532</v>
      </c>
      <c r="B52" s="93">
        <v>439</v>
      </c>
    </row>
    <row r="53" spans="1:2" x14ac:dyDescent="0.2">
      <c r="A53" s="172">
        <v>24563</v>
      </c>
      <c r="B53" s="93">
        <v>479</v>
      </c>
    </row>
    <row r="54" spans="1:2" x14ac:dyDescent="0.2">
      <c r="A54" s="172">
        <v>24593</v>
      </c>
      <c r="B54" s="93">
        <v>503</v>
      </c>
    </row>
    <row r="55" spans="1:2" x14ac:dyDescent="0.2">
      <c r="A55" s="172">
        <v>24624</v>
      </c>
      <c r="B55" s="93">
        <v>499</v>
      </c>
    </row>
    <row r="56" spans="1:2" x14ac:dyDescent="0.2">
      <c r="A56" s="172">
        <v>24654</v>
      </c>
      <c r="B56" s="93">
        <v>515</v>
      </c>
    </row>
    <row r="57" spans="1:2" x14ac:dyDescent="0.2">
      <c r="A57" s="172">
        <v>24685</v>
      </c>
      <c r="B57" s="93">
        <v>504</v>
      </c>
    </row>
    <row r="58" spans="1:2" x14ac:dyDescent="0.2">
      <c r="A58" s="172">
        <v>24716</v>
      </c>
      <c r="B58" s="93">
        <v>531</v>
      </c>
    </row>
    <row r="59" spans="1:2" x14ac:dyDescent="0.2">
      <c r="A59" s="172">
        <v>24746</v>
      </c>
      <c r="B59" s="93">
        <v>566</v>
      </c>
    </row>
    <row r="60" spans="1:2" x14ac:dyDescent="0.2">
      <c r="A60" s="172">
        <v>24777</v>
      </c>
      <c r="B60" s="93">
        <v>500</v>
      </c>
    </row>
    <row r="61" spans="1:2" x14ac:dyDescent="0.2">
      <c r="A61" s="172">
        <v>24807</v>
      </c>
      <c r="B61" s="93">
        <v>502</v>
      </c>
    </row>
    <row r="62" spans="1:2" x14ac:dyDescent="0.2">
      <c r="A62" s="172">
        <v>24838</v>
      </c>
      <c r="B62" s="93">
        <v>494</v>
      </c>
    </row>
    <row r="63" spans="1:2" x14ac:dyDescent="0.2">
      <c r="A63" s="172">
        <v>24869</v>
      </c>
      <c r="B63" s="93">
        <v>543</v>
      </c>
    </row>
    <row r="64" spans="1:2" x14ac:dyDescent="0.2">
      <c r="A64" s="172">
        <v>24898</v>
      </c>
      <c r="B64" s="93">
        <v>490</v>
      </c>
    </row>
    <row r="65" spans="1:2" x14ac:dyDescent="0.2">
      <c r="A65" s="172">
        <v>24929</v>
      </c>
      <c r="B65" s="93">
        <v>501</v>
      </c>
    </row>
    <row r="66" spans="1:2" x14ac:dyDescent="0.2">
      <c r="A66" s="172">
        <v>24959</v>
      </c>
      <c r="B66" s="93">
        <v>441</v>
      </c>
    </row>
    <row r="67" spans="1:2" x14ac:dyDescent="0.2">
      <c r="A67" s="172">
        <v>24990</v>
      </c>
      <c r="B67" s="93">
        <v>441</v>
      </c>
    </row>
    <row r="68" spans="1:2" x14ac:dyDescent="0.2">
      <c r="A68" s="172">
        <v>25020</v>
      </c>
      <c r="B68" s="93">
        <v>493</v>
      </c>
    </row>
    <row r="69" spans="1:2" x14ac:dyDescent="0.2">
      <c r="A69" s="172">
        <v>25051</v>
      </c>
      <c r="B69" s="93">
        <v>507</v>
      </c>
    </row>
    <row r="70" spans="1:2" x14ac:dyDescent="0.2">
      <c r="A70" s="172">
        <v>25082</v>
      </c>
      <c r="B70" s="93">
        <v>501</v>
      </c>
    </row>
    <row r="71" spans="1:2" x14ac:dyDescent="0.2">
      <c r="A71" s="172">
        <v>25112</v>
      </c>
      <c r="B71" s="93">
        <v>502</v>
      </c>
    </row>
    <row r="72" spans="1:2" x14ac:dyDescent="0.2">
      <c r="A72" s="172">
        <v>25143</v>
      </c>
      <c r="B72" s="93">
        <v>469</v>
      </c>
    </row>
    <row r="73" spans="1:2" x14ac:dyDescent="0.2">
      <c r="A73" s="172">
        <v>25173</v>
      </c>
      <c r="B73" s="93">
        <v>511</v>
      </c>
    </row>
    <row r="74" spans="1:2" x14ac:dyDescent="0.2">
      <c r="A74" s="172">
        <v>25204</v>
      </c>
      <c r="B74" s="93">
        <v>480</v>
      </c>
    </row>
    <row r="75" spans="1:2" x14ac:dyDescent="0.2">
      <c r="A75" s="172">
        <v>25235</v>
      </c>
      <c r="B75" s="93">
        <v>524</v>
      </c>
    </row>
    <row r="76" spans="1:2" x14ac:dyDescent="0.2">
      <c r="A76" s="172">
        <v>25263</v>
      </c>
      <c r="B76" s="93">
        <v>474</v>
      </c>
    </row>
    <row r="77" spans="1:2" x14ac:dyDescent="0.2">
      <c r="A77" s="172">
        <v>25294</v>
      </c>
      <c r="B77" s="93">
        <v>450</v>
      </c>
    </row>
    <row r="78" spans="1:2" x14ac:dyDescent="0.2">
      <c r="A78" s="172">
        <v>25324</v>
      </c>
      <c r="B78" s="93">
        <v>447</v>
      </c>
    </row>
    <row r="79" spans="1:2" x14ac:dyDescent="0.2">
      <c r="A79" s="172">
        <v>25355</v>
      </c>
      <c r="B79" s="93">
        <v>461</v>
      </c>
    </row>
    <row r="80" spans="1:2" x14ac:dyDescent="0.2">
      <c r="A80" s="172">
        <v>25385</v>
      </c>
      <c r="B80" s="93">
        <v>436</v>
      </c>
    </row>
    <row r="81" spans="1:2" x14ac:dyDescent="0.2">
      <c r="A81" s="172">
        <v>25416</v>
      </c>
      <c r="B81" s="93">
        <v>422</v>
      </c>
    </row>
    <row r="82" spans="1:2" x14ac:dyDescent="0.2">
      <c r="A82" s="172">
        <v>25447</v>
      </c>
      <c r="B82" s="93">
        <v>396</v>
      </c>
    </row>
    <row r="83" spans="1:2" x14ac:dyDescent="0.2">
      <c r="A83" s="172">
        <v>25477</v>
      </c>
      <c r="B83" s="93">
        <v>401</v>
      </c>
    </row>
    <row r="84" spans="1:2" x14ac:dyDescent="0.2">
      <c r="A84" s="172">
        <v>25508</v>
      </c>
      <c r="B84" s="93">
        <v>441</v>
      </c>
    </row>
    <row r="85" spans="1:2" x14ac:dyDescent="0.2">
      <c r="A85" s="172">
        <v>25538</v>
      </c>
      <c r="B85" s="93">
        <v>452</v>
      </c>
    </row>
    <row r="86" spans="1:2" x14ac:dyDescent="0.2">
      <c r="A86" s="172">
        <v>25569</v>
      </c>
      <c r="B86" s="93">
        <v>461</v>
      </c>
    </row>
    <row r="87" spans="1:2" x14ac:dyDescent="0.2">
      <c r="A87" s="172">
        <v>25600</v>
      </c>
      <c r="B87" s="93">
        <v>373</v>
      </c>
    </row>
    <row r="88" spans="1:2" x14ac:dyDescent="0.2">
      <c r="A88" s="172">
        <v>25628</v>
      </c>
      <c r="B88" s="93">
        <v>389</v>
      </c>
    </row>
    <row r="89" spans="1:2" x14ac:dyDescent="0.2">
      <c r="A89" s="172">
        <v>25659</v>
      </c>
      <c r="B89" s="93">
        <v>445</v>
      </c>
    </row>
    <row r="90" spans="1:2" x14ac:dyDescent="0.2">
      <c r="A90" s="172">
        <v>25689</v>
      </c>
      <c r="B90" s="93">
        <v>466</v>
      </c>
    </row>
    <row r="91" spans="1:2" x14ac:dyDescent="0.2">
      <c r="A91" s="172">
        <v>25720</v>
      </c>
      <c r="B91" s="93">
        <v>485</v>
      </c>
    </row>
    <row r="92" spans="1:2" x14ac:dyDescent="0.2">
      <c r="A92" s="172">
        <v>25750</v>
      </c>
      <c r="B92" s="93">
        <v>481</v>
      </c>
    </row>
    <row r="93" spans="1:2" x14ac:dyDescent="0.2">
      <c r="A93" s="172">
        <v>25781</v>
      </c>
      <c r="B93" s="93">
        <v>515</v>
      </c>
    </row>
    <row r="94" spans="1:2" x14ac:dyDescent="0.2">
      <c r="A94" s="172">
        <v>25812</v>
      </c>
      <c r="B94" s="93">
        <v>564</v>
      </c>
    </row>
    <row r="95" spans="1:2" x14ac:dyDescent="0.2">
      <c r="A95" s="172">
        <v>25842</v>
      </c>
      <c r="B95" s="93">
        <v>545</v>
      </c>
    </row>
    <row r="96" spans="1:2" x14ac:dyDescent="0.2">
      <c r="A96" s="172">
        <v>25873</v>
      </c>
      <c r="B96" s="93">
        <v>570</v>
      </c>
    </row>
    <row r="97" spans="1:2" x14ac:dyDescent="0.2">
      <c r="A97" s="172">
        <v>25903</v>
      </c>
      <c r="B97" s="93">
        <v>582</v>
      </c>
    </row>
    <row r="98" spans="1:2" x14ac:dyDescent="0.2">
      <c r="A98" s="172">
        <v>25934</v>
      </c>
      <c r="B98" s="93">
        <v>618</v>
      </c>
    </row>
    <row r="99" spans="1:2" x14ac:dyDescent="0.2">
      <c r="A99" s="172">
        <v>25965</v>
      </c>
      <c r="B99" s="93">
        <v>618</v>
      </c>
    </row>
    <row r="100" spans="1:2" x14ac:dyDescent="0.2">
      <c r="A100" s="172">
        <v>25993</v>
      </c>
      <c r="B100" s="93">
        <v>681</v>
      </c>
    </row>
    <row r="101" spans="1:2" x14ac:dyDescent="0.2">
      <c r="A101" s="172">
        <v>26024</v>
      </c>
      <c r="B101" s="93">
        <v>662</v>
      </c>
    </row>
    <row r="102" spans="1:2" x14ac:dyDescent="0.2">
      <c r="A102" s="172">
        <v>26054</v>
      </c>
      <c r="B102" s="93">
        <v>618</v>
      </c>
    </row>
    <row r="103" spans="1:2" x14ac:dyDescent="0.2">
      <c r="A103" s="172">
        <v>26085</v>
      </c>
      <c r="B103" s="93">
        <v>646</v>
      </c>
    </row>
    <row r="104" spans="1:2" x14ac:dyDescent="0.2">
      <c r="A104" s="172">
        <v>26115</v>
      </c>
      <c r="B104" s="93">
        <v>706</v>
      </c>
    </row>
    <row r="105" spans="1:2" x14ac:dyDescent="0.2">
      <c r="A105" s="172">
        <v>26146</v>
      </c>
      <c r="B105" s="93">
        <v>659</v>
      </c>
    </row>
    <row r="106" spans="1:2" x14ac:dyDescent="0.2">
      <c r="A106" s="172">
        <v>26177</v>
      </c>
      <c r="B106" s="93">
        <v>625</v>
      </c>
    </row>
    <row r="107" spans="1:2" x14ac:dyDescent="0.2">
      <c r="A107" s="172">
        <v>26207</v>
      </c>
      <c r="B107" s="93">
        <v>647</v>
      </c>
    </row>
    <row r="108" spans="1:2" x14ac:dyDescent="0.2">
      <c r="A108" s="172">
        <v>26238</v>
      </c>
      <c r="B108" s="93">
        <v>710</v>
      </c>
    </row>
    <row r="109" spans="1:2" x14ac:dyDescent="0.2">
      <c r="A109" s="172">
        <v>26268</v>
      </c>
      <c r="B109" s="93">
        <v>689</v>
      </c>
    </row>
    <row r="110" spans="1:2" x14ac:dyDescent="0.2">
      <c r="A110" s="172">
        <v>26299</v>
      </c>
      <c r="B110" s="93">
        <v>698</v>
      </c>
    </row>
    <row r="111" spans="1:2" x14ac:dyDescent="0.2">
      <c r="A111" s="172">
        <v>26330</v>
      </c>
      <c r="B111" s="93">
        <v>711</v>
      </c>
    </row>
    <row r="112" spans="1:2" x14ac:dyDescent="0.2">
      <c r="A112" s="172">
        <v>26359</v>
      </c>
      <c r="B112" s="93">
        <v>640</v>
      </c>
    </row>
    <row r="113" spans="1:6" x14ac:dyDescent="0.2">
      <c r="A113" s="172">
        <v>26390</v>
      </c>
      <c r="B113" s="93">
        <v>684</v>
      </c>
    </row>
    <row r="114" spans="1:6" x14ac:dyDescent="0.2">
      <c r="A114" s="172">
        <v>26420</v>
      </c>
      <c r="B114" s="93">
        <v>677</v>
      </c>
    </row>
    <row r="115" spans="1:6" x14ac:dyDescent="0.2">
      <c r="A115" s="172">
        <v>26451</v>
      </c>
      <c r="B115" s="93">
        <v>687</v>
      </c>
    </row>
    <row r="116" spans="1:6" x14ac:dyDescent="0.2">
      <c r="A116" s="172">
        <v>26481</v>
      </c>
      <c r="B116" s="93">
        <v>681</v>
      </c>
    </row>
    <row r="117" spans="1:6" x14ac:dyDescent="0.2">
      <c r="A117" s="172">
        <v>26512</v>
      </c>
      <c r="B117" s="93">
        <v>773</v>
      </c>
    </row>
    <row r="118" spans="1:6" x14ac:dyDescent="0.2">
      <c r="A118" s="172">
        <v>26543</v>
      </c>
      <c r="B118" s="93">
        <v>767</v>
      </c>
    </row>
    <row r="119" spans="1:6" x14ac:dyDescent="0.2">
      <c r="A119" s="172">
        <v>26573</v>
      </c>
      <c r="B119" s="93">
        <v>843</v>
      </c>
    </row>
    <row r="120" spans="1:6" x14ac:dyDescent="0.2">
      <c r="A120" s="172">
        <v>26604</v>
      </c>
      <c r="B120" s="93">
        <v>735</v>
      </c>
    </row>
    <row r="121" spans="1:6" x14ac:dyDescent="0.2">
      <c r="A121" s="172">
        <v>26634</v>
      </c>
      <c r="B121" s="93">
        <v>772</v>
      </c>
    </row>
    <row r="122" spans="1:6" x14ac:dyDescent="0.2">
      <c r="A122" s="172">
        <v>26665</v>
      </c>
      <c r="B122" s="93">
        <v>781</v>
      </c>
      <c r="C122" s="93">
        <v>127</v>
      </c>
      <c r="D122" s="93">
        <v>136</v>
      </c>
      <c r="E122" s="93">
        <v>325</v>
      </c>
      <c r="F122" s="93">
        <v>192</v>
      </c>
    </row>
    <row r="123" spans="1:6" x14ac:dyDescent="0.2">
      <c r="A123" s="172">
        <v>26696</v>
      </c>
      <c r="B123" s="93">
        <v>737</v>
      </c>
      <c r="C123" s="93">
        <v>108</v>
      </c>
      <c r="D123" s="93">
        <v>137</v>
      </c>
      <c r="E123" s="93">
        <v>312</v>
      </c>
      <c r="F123" s="93">
        <v>180</v>
      </c>
    </row>
    <row r="124" spans="1:6" x14ac:dyDescent="0.2">
      <c r="A124" s="172">
        <v>26724</v>
      </c>
      <c r="B124" s="93">
        <v>725</v>
      </c>
      <c r="C124" s="93">
        <v>103</v>
      </c>
      <c r="D124" s="93">
        <v>143</v>
      </c>
      <c r="E124" s="93">
        <v>297</v>
      </c>
      <c r="F124" s="93">
        <v>183</v>
      </c>
    </row>
    <row r="125" spans="1:6" x14ac:dyDescent="0.2">
      <c r="A125" s="172">
        <v>26755</v>
      </c>
      <c r="B125" s="93">
        <v>661</v>
      </c>
      <c r="C125" s="93">
        <v>96</v>
      </c>
      <c r="D125" s="93">
        <v>115</v>
      </c>
      <c r="E125" s="93">
        <v>278</v>
      </c>
      <c r="F125" s="93">
        <v>172</v>
      </c>
    </row>
    <row r="126" spans="1:6" x14ac:dyDescent="0.2">
      <c r="A126" s="172">
        <v>26785</v>
      </c>
      <c r="B126" s="93">
        <v>660</v>
      </c>
      <c r="C126" s="93">
        <v>90</v>
      </c>
      <c r="D126" s="93">
        <v>126</v>
      </c>
      <c r="E126" s="93">
        <v>261</v>
      </c>
      <c r="F126" s="93">
        <v>183</v>
      </c>
    </row>
    <row r="127" spans="1:6" x14ac:dyDescent="0.2">
      <c r="A127" s="172">
        <v>26816</v>
      </c>
      <c r="B127" s="93">
        <v>650</v>
      </c>
      <c r="C127" s="93">
        <v>91</v>
      </c>
      <c r="D127" s="93">
        <v>132</v>
      </c>
      <c r="E127" s="93">
        <v>271</v>
      </c>
      <c r="F127" s="93">
        <v>156</v>
      </c>
    </row>
    <row r="128" spans="1:6" x14ac:dyDescent="0.2">
      <c r="A128" s="172">
        <v>26846</v>
      </c>
      <c r="B128" s="93">
        <v>601</v>
      </c>
      <c r="C128" s="93">
        <v>95</v>
      </c>
      <c r="D128" s="93">
        <v>117</v>
      </c>
      <c r="E128" s="93">
        <v>228</v>
      </c>
      <c r="F128" s="93">
        <v>160</v>
      </c>
    </row>
    <row r="129" spans="1:6" x14ac:dyDescent="0.2">
      <c r="A129" s="172">
        <v>26877</v>
      </c>
      <c r="B129" s="93">
        <v>566</v>
      </c>
      <c r="C129" s="93">
        <v>101</v>
      </c>
      <c r="D129" s="93">
        <v>102</v>
      </c>
      <c r="E129" s="93">
        <v>222</v>
      </c>
      <c r="F129" s="93">
        <v>141</v>
      </c>
    </row>
    <row r="130" spans="1:6" x14ac:dyDescent="0.2">
      <c r="A130" s="172">
        <v>26908</v>
      </c>
      <c r="B130" s="93">
        <v>561</v>
      </c>
      <c r="C130" s="93">
        <v>98</v>
      </c>
      <c r="D130" s="93">
        <v>107</v>
      </c>
      <c r="E130" s="93">
        <v>218</v>
      </c>
      <c r="F130" s="93">
        <v>139</v>
      </c>
    </row>
    <row r="131" spans="1:6" x14ac:dyDescent="0.2">
      <c r="A131" s="172">
        <v>26938</v>
      </c>
      <c r="B131" s="93">
        <v>565</v>
      </c>
      <c r="C131" s="93">
        <v>94</v>
      </c>
      <c r="D131" s="93">
        <v>106</v>
      </c>
      <c r="E131" s="93">
        <v>221</v>
      </c>
      <c r="F131" s="93">
        <v>144</v>
      </c>
    </row>
    <row r="132" spans="1:6" x14ac:dyDescent="0.2">
      <c r="A132" s="172">
        <v>26969</v>
      </c>
      <c r="B132" s="93">
        <v>547</v>
      </c>
      <c r="C132" s="93">
        <v>82</v>
      </c>
      <c r="D132" s="93">
        <v>106</v>
      </c>
      <c r="E132" s="93">
        <v>216</v>
      </c>
      <c r="F132" s="93">
        <v>143</v>
      </c>
    </row>
    <row r="133" spans="1:6" x14ac:dyDescent="0.2">
      <c r="A133" s="172">
        <v>26999</v>
      </c>
      <c r="B133" s="93">
        <v>519</v>
      </c>
      <c r="C133" s="93">
        <v>56</v>
      </c>
      <c r="D133" s="93">
        <v>111</v>
      </c>
      <c r="E133" s="93">
        <v>218</v>
      </c>
      <c r="F133" s="93">
        <v>135</v>
      </c>
    </row>
    <row r="134" spans="1:6" x14ac:dyDescent="0.2">
      <c r="A134" s="172">
        <v>27030</v>
      </c>
      <c r="B134" s="93">
        <v>523</v>
      </c>
      <c r="C134" s="93">
        <v>70</v>
      </c>
      <c r="D134" s="93">
        <v>130</v>
      </c>
      <c r="E134" s="93">
        <v>208</v>
      </c>
      <c r="F134" s="93">
        <v>115</v>
      </c>
    </row>
    <row r="135" spans="1:6" x14ac:dyDescent="0.2">
      <c r="A135" s="172">
        <v>27061</v>
      </c>
      <c r="B135" s="93">
        <v>539</v>
      </c>
      <c r="C135" s="93">
        <v>79</v>
      </c>
      <c r="D135" s="93">
        <v>95</v>
      </c>
      <c r="E135" s="93">
        <v>210</v>
      </c>
      <c r="F135" s="93">
        <v>156</v>
      </c>
    </row>
    <row r="136" spans="1:6" x14ac:dyDescent="0.2">
      <c r="A136" s="172">
        <v>27089</v>
      </c>
      <c r="B136" s="93">
        <v>572</v>
      </c>
      <c r="C136" s="93">
        <v>78</v>
      </c>
      <c r="D136" s="93">
        <v>118</v>
      </c>
      <c r="E136" s="93">
        <v>230</v>
      </c>
      <c r="F136" s="93">
        <v>146</v>
      </c>
    </row>
    <row r="137" spans="1:6" x14ac:dyDescent="0.2">
      <c r="A137" s="172">
        <v>27120</v>
      </c>
      <c r="B137" s="93">
        <v>544</v>
      </c>
      <c r="C137" s="93">
        <v>77</v>
      </c>
      <c r="D137" s="93">
        <v>105</v>
      </c>
      <c r="E137" s="93">
        <v>202</v>
      </c>
      <c r="F137" s="93">
        <v>160</v>
      </c>
    </row>
    <row r="138" spans="1:6" x14ac:dyDescent="0.2">
      <c r="A138" s="172">
        <v>27150</v>
      </c>
      <c r="B138" s="93">
        <v>590</v>
      </c>
      <c r="C138" s="93">
        <v>79</v>
      </c>
      <c r="D138" s="93">
        <v>129</v>
      </c>
      <c r="E138" s="93">
        <v>232</v>
      </c>
      <c r="F138" s="93">
        <v>150</v>
      </c>
    </row>
    <row r="139" spans="1:6" x14ac:dyDescent="0.2">
      <c r="A139" s="172">
        <v>27181</v>
      </c>
      <c r="B139" s="93">
        <v>534</v>
      </c>
      <c r="C139" s="93">
        <v>74</v>
      </c>
      <c r="D139" s="93">
        <v>86</v>
      </c>
      <c r="E139" s="93">
        <v>243</v>
      </c>
      <c r="F139" s="93">
        <v>131</v>
      </c>
    </row>
    <row r="140" spans="1:6" x14ac:dyDescent="0.2">
      <c r="A140" s="172">
        <v>27211</v>
      </c>
      <c r="B140" s="93">
        <v>534</v>
      </c>
      <c r="C140" s="93">
        <v>73</v>
      </c>
      <c r="D140" s="93">
        <v>100</v>
      </c>
      <c r="E140" s="93">
        <v>227</v>
      </c>
      <c r="F140" s="93">
        <v>135</v>
      </c>
    </row>
    <row r="141" spans="1:6" x14ac:dyDescent="0.2">
      <c r="A141" s="172">
        <v>27242</v>
      </c>
      <c r="B141" s="93">
        <v>492</v>
      </c>
      <c r="C141" s="93">
        <v>66</v>
      </c>
      <c r="D141" s="93">
        <v>100</v>
      </c>
      <c r="E141" s="93">
        <v>183</v>
      </c>
      <c r="F141" s="93">
        <v>144</v>
      </c>
    </row>
    <row r="142" spans="1:6" x14ac:dyDescent="0.2">
      <c r="A142" s="172">
        <v>27273</v>
      </c>
      <c r="B142" s="93">
        <v>511</v>
      </c>
      <c r="C142" s="93">
        <v>60</v>
      </c>
      <c r="D142" s="93">
        <v>101</v>
      </c>
      <c r="E142" s="93">
        <v>202</v>
      </c>
      <c r="F142" s="93">
        <v>147</v>
      </c>
    </row>
    <row r="143" spans="1:6" x14ac:dyDescent="0.2">
      <c r="A143" s="172">
        <v>27303</v>
      </c>
      <c r="B143" s="93">
        <v>448</v>
      </c>
      <c r="C143" s="93">
        <v>52</v>
      </c>
      <c r="D143" s="93">
        <v>81</v>
      </c>
      <c r="E143" s="93">
        <v>184</v>
      </c>
      <c r="F143" s="93">
        <v>132</v>
      </c>
    </row>
    <row r="144" spans="1:6" x14ac:dyDescent="0.2">
      <c r="A144" s="172">
        <v>27334</v>
      </c>
      <c r="B144" s="93">
        <v>450</v>
      </c>
      <c r="C144" s="93">
        <v>56</v>
      </c>
      <c r="D144" s="93">
        <v>86</v>
      </c>
      <c r="E144" s="93">
        <v>177</v>
      </c>
      <c r="F144" s="93">
        <v>132</v>
      </c>
    </row>
    <row r="145" spans="1:7" x14ac:dyDescent="0.2">
      <c r="A145" s="172">
        <v>27364</v>
      </c>
      <c r="B145" s="93">
        <v>417</v>
      </c>
      <c r="C145" s="93">
        <v>60</v>
      </c>
      <c r="D145" s="93">
        <v>103</v>
      </c>
      <c r="E145" s="93">
        <v>161</v>
      </c>
      <c r="F145" s="93">
        <v>94</v>
      </c>
    </row>
    <row r="146" spans="1:7" x14ac:dyDescent="0.2">
      <c r="A146" s="172">
        <v>27395</v>
      </c>
      <c r="B146" s="93">
        <v>416</v>
      </c>
      <c r="C146" s="93">
        <v>49</v>
      </c>
      <c r="D146" s="93">
        <v>66</v>
      </c>
      <c r="E146" s="93">
        <v>186</v>
      </c>
      <c r="F146" s="93">
        <v>114</v>
      </c>
      <c r="G146" s="93"/>
    </row>
    <row r="147" spans="1:7" x14ac:dyDescent="0.2">
      <c r="A147" s="172">
        <v>27426</v>
      </c>
      <c r="B147" s="93">
        <v>422</v>
      </c>
      <c r="C147" s="93">
        <v>65</v>
      </c>
      <c r="D147" s="93">
        <v>82</v>
      </c>
      <c r="E147" s="93">
        <v>174</v>
      </c>
      <c r="F147" s="93">
        <v>100</v>
      </c>
    </row>
    <row r="148" spans="1:7" x14ac:dyDescent="0.2">
      <c r="A148" s="172">
        <v>27454</v>
      </c>
      <c r="B148" s="93">
        <v>477</v>
      </c>
      <c r="C148" s="93">
        <v>70</v>
      </c>
      <c r="D148" s="93">
        <v>89</v>
      </c>
      <c r="E148" s="93">
        <v>194</v>
      </c>
      <c r="F148" s="93">
        <v>125</v>
      </c>
    </row>
    <row r="149" spans="1:7" x14ac:dyDescent="0.2">
      <c r="A149" s="172">
        <v>27485</v>
      </c>
      <c r="B149" s="93">
        <v>543</v>
      </c>
      <c r="C149" s="93">
        <v>64</v>
      </c>
      <c r="D149" s="93">
        <v>96</v>
      </c>
      <c r="E149" s="93">
        <v>244</v>
      </c>
      <c r="F149" s="93">
        <v>139</v>
      </c>
    </row>
    <row r="150" spans="1:7" x14ac:dyDescent="0.2">
      <c r="A150" s="172">
        <v>27515</v>
      </c>
      <c r="B150" s="93">
        <v>579</v>
      </c>
      <c r="C150" s="93">
        <v>76</v>
      </c>
      <c r="D150" s="93">
        <v>103</v>
      </c>
      <c r="E150" s="93">
        <v>247</v>
      </c>
      <c r="F150" s="93">
        <v>152</v>
      </c>
    </row>
    <row r="151" spans="1:7" x14ac:dyDescent="0.2">
      <c r="A151" s="172">
        <v>27546</v>
      </c>
      <c r="B151" s="93">
        <v>557</v>
      </c>
      <c r="C151" s="93">
        <v>76</v>
      </c>
      <c r="D151" s="93">
        <v>132</v>
      </c>
      <c r="E151" s="93">
        <v>181</v>
      </c>
      <c r="F151" s="93">
        <v>169</v>
      </c>
    </row>
    <row r="152" spans="1:7" x14ac:dyDescent="0.2">
      <c r="A152" s="172">
        <v>27576</v>
      </c>
      <c r="B152" s="93">
        <v>569</v>
      </c>
      <c r="C152" s="93">
        <v>72</v>
      </c>
      <c r="D152" s="190">
        <v>112</v>
      </c>
      <c r="E152" s="93">
        <v>226</v>
      </c>
      <c r="F152" s="93">
        <v>159</v>
      </c>
    </row>
    <row r="153" spans="1:7" x14ac:dyDescent="0.2">
      <c r="A153" s="172">
        <v>27607</v>
      </c>
      <c r="B153" s="93">
        <v>566</v>
      </c>
      <c r="C153" s="93">
        <v>56</v>
      </c>
      <c r="D153" s="93">
        <v>116</v>
      </c>
      <c r="E153" s="93">
        <v>223</v>
      </c>
      <c r="F153" s="93">
        <v>170</v>
      </c>
    </row>
    <row r="154" spans="1:7" x14ac:dyDescent="0.2">
      <c r="A154" s="172">
        <v>27638</v>
      </c>
      <c r="B154" s="93">
        <v>556</v>
      </c>
      <c r="C154" s="93">
        <v>72</v>
      </c>
      <c r="D154" s="93">
        <v>111</v>
      </c>
      <c r="E154" s="93">
        <v>207</v>
      </c>
      <c r="F154" s="93">
        <v>166</v>
      </c>
    </row>
    <row r="155" spans="1:7" x14ac:dyDescent="0.2">
      <c r="A155" s="172">
        <v>27668</v>
      </c>
      <c r="B155" s="93">
        <v>609</v>
      </c>
      <c r="C155" s="93">
        <v>79</v>
      </c>
      <c r="D155" s="93">
        <v>119</v>
      </c>
      <c r="E155" s="93">
        <v>250</v>
      </c>
      <c r="F155" s="93">
        <v>162</v>
      </c>
    </row>
    <row r="156" spans="1:7" x14ac:dyDescent="0.2">
      <c r="A156" s="172">
        <v>27699</v>
      </c>
      <c r="B156" s="93">
        <v>680</v>
      </c>
      <c r="C156" s="93">
        <v>80</v>
      </c>
      <c r="D156" s="93">
        <v>128</v>
      </c>
      <c r="E156" s="93">
        <v>298</v>
      </c>
      <c r="F156" s="93">
        <v>174</v>
      </c>
    </row>
    <row r="157" spans="1:7" x14ac:dyDescent="0.2">
      <c r="A157" s="172">
        <v>27729</v>
      </c>
      <c r="B157" s="93">
        <v>669</v>
      </c>
      <c r="C157" s="93">
        <v>85</v>
      </c>
      <c r="D157" s="93">
        <v>122</v>
      </c>
      <c r="E157" s="93">
        <v>255</v>
      </c>
      <c r="F157" s="93">
        <v>206</v>
      </c>
    </row>
    <row r="158" spans="1:7" x14ac:dyDescent="0.2">
      <c r="A158" s="172">
        <v>27760</v>
      </c>
      <c r="B158" s="93">
        <v>603</v>
      </c>
      <c r="C158" s="93">
        <v>76</v>
      </c>
      <c r="D158" s="93">
        <v>131</v>
      </c>
      <c r="E158" s="93">
        <v>231</v>
      </c>
      <c r="F158" s="93">
        <v>165</v>
      </c>
    </row>
    <row r="159" spans="1:7" x14ac:dyDescent="0.2">
      <c r="A159" s="172">
        <v>27791</v>
      </c>
      <c r="B159" s="93">
        <v>644</v>
      </c>
      <c r="C159" s="93">
        <v>72</v>
      </c>
      <c r="D159" s="93">
        <v>128</v>
      </c>
      <c r="E159" s="93">
        <v>263</v>
      </c>
      <c r="F159" s="93">
        <v>182</v>
      </c>
    </row>
    <row r="160" spans="1:7" x14ac:dyDescent="0.2">
      <c r="A160" s="172">
        <v>27820</v>
      </c>
      <c r="B160" s="93">
        <v>591</v>
      </c>
      <c r="C160" s="93">
        <v>72</v>
      </c>
      <c r="D160" s="93">
        <v>119</v>
      </c>
      <c r="E160" s="93">
        <v>214</v>
      </c>
      <c r="F160" s="93">
        <v>186</v>
      </c>
    </row>
    <row r="161" spans="1:6" x14ac:dyDescent="0.2">
      <c r="A161" s="172">
        <v>27851</v>
      </c>
      <c r="B161" s="93">
        <v>611</v>
      </c>
      <c r="C161" s="93">
        <v>73</v>
      </c>
      <c r="D161" s="93">
        <v>131</v>
      </c>
      <c r="E161" s="93">
        <v>228</v>
      </c>
      <c r="F161" s="93">
        <v>180</v>
      </c>
    </row>
    <row r="162" spans="1:6" x14ac:dyDescent="0.2">
      <c r="A162" s="172">
        <v>27881</v>
      </c>
      <c r="B162" s="93">
        <v>570</v>
      </c>
      <c r="C162" s="93">
        <v>63</v>
      </c>
      <c r="D162" s="93">
        <v>124</v>
      </c>
      <c r="E162" s="93">
        <v>219</v>
      </c>
      <c r="F162" s="93">
        <v>164</v>
      </c>
    </row>
    <row r="163" spans="1:6" x14ac:dyDescent="0.2">
      <c r="A163" s="172">
        <v>27912</v>
      </c>
      <c r="B163" s="93">
        <v>591</v>
      </c>
      <c r="C163" s="93">
        <v>63</v>
      </c>
      <c r="D163" s="93">
        <v>118</v>
      </c>
      <c r="E163" s="93">
        <v>225</v>
      </c>
      <c r="F163" s="93">
        <v>185</v>
      </c>
    </row>
    <row r="164" spans="1:6" x14ac:dyDescent="0.2">
      <c r="A164" s="172">
        <v>27942</v>
      </c>
      <c r="B164" s="93">
        <v>664</v>
      </c>
      <c r="C164" s="93">
        <v>88</v>
      </c>
      <c r="D164" s="93">
        <v>121</v>
      </c>
      <c r="E164" s="93">
        <v>238</v>
      </c>
      <c r="F164" s="93">
        <v>216</v>
      </c>
    </row>
    <row r="165" spans="1:6" x14ac:dyDescent="0.2">
      <c r="A165" s="172">
        <v>27973</v>
      </c>
      <c r="B165" s="93">
        <v>648</v>
      </c>
      <c r="C165" s="93">
        <v>69</v>
      </c>
      <c r="D165" s="93">
        <v>125</v>
      </c>
      <c r="E165" s="93">
        <v>269</v>
      </c>
      <c r="F165" s="93">
        <v>185</v>
      </c>
    </row>
    <row r="166" spans="1:6" x14ac:dyDescent="0.2">
      <c r="A166" s="172">
        <v>28004</v>
      </c>
      <c r="B166" s="93">
        <v>696</v>
      </c>
      <c r="C166" s="93">
        <v>69</v>
      </c>
      <c r="D166" s="93">
        <v>140</v>
      </c>
      <c r="E166" s="93">
        <v>260</v>
      </c>
      <c r="F166" s="93">
        <v>227</v>
      </c>
    </row>
    <row r="167" spans="1:6" x14ac:dyDescent="0.2">
      <c r="A167" s="172">
        <v>28034</v>
      </c>
      <c r="B167" s="93">
        <v>708</v>
      </c>
      <c r="C167" s="93">
        <v>75</v>
      </c>
      <c r="D167" s="93">
        <v>127</v>
      </c>
      <c r="E167" s="93">
        <v>266</v>
      </c>
      <c r="F167" s="93">
        <v>240</v>
      </c>
    </row>
    <row r="168" spans="1:6" x14ac:dyDescent="0.2">
      <c r="A168" s="172">
        <v>28065</v>
      </c>
      <c r="B168" s="93">
        <v>735</v>
      </c>
      <c r="C168" s="93">
        <v>73</v>
      </c>
      <c r="D168" s="93">
        <v>142</v>
      </c>
      <c r="E168" s="93">
        <v>279</v>
      </c>
      <c r="F168" s="93">
        <v>241</v>
      </c>
    </row>
    <row r="169" spans="1:6" x14ac:dyDescent="0.2">
      <c r="A169" s="172">
        <v>28095</v>
      </c>
      <c r="B169" s="93">
        <v>767</v>
      </c>
      <c r="C169" s="93">
        <v>73</v>
      </c>
      <c r="D169" s="190">
        <v>143</v>
      </c>
      <c r="E169" s="93">
        <v>295</v>
      </c>
      <c r="F169" s="93">
        <v>257</v>
      </c>
    </row>
    <row r="170" spans="1:6" x14ac:dyDescent="0.2">
      <c r="A170" s="172">
        <v>28126</v>
      </c>
      <c r="B170" s="93">
        <v>825</v>
      </c>
      <c r="C170" s="93">
        <v>89</v>
      </c>
      <c r="D170" s="93">
        <v>148</v>
      </c>
      <c r="E170" s="93">
        <v>309</v>
      </c>
      <c r="F170" s="93">
        <v>280</v>
      </c>
    </row>
    <row r="171" spans="1:6" x14ac:dyDescent="0.2">
      <c r="A171" s="172">
        <v>28157</v>
      </c>
      <c r="B171" s="93">
        <v>839</v>
      </c>
      <c r="C171" s="93">
        <v>73</v>
      </c>
      <c r="D171" s="93">
        <v>158</v>
      </c>
      <c r="E171" s="93">
        <v>318</v>
      </c>
      <c r="F171" s="93">
        <v>290</v>
      </c>
    </row>
    <row r="172" spans="1:6" x14ac:dyDescent="0.2">
      <c r="A172" s="172">
        <v>28185</v>
      </c>
      <c r="B172" s="93">
        <v>872</v>
      </c>
      <c r="C172" s="93">
        <v>78</v>
      </c>
      <c r="D172" s="93">
        <v>148</v>
      </c>
      <c r="E172" s="93">
        <v>359</v>
      </c>
      <c r="F172" s="93">
        <v>288</v>
      </c>
    </row>
    <row r="173" spans="1:6" x14ac:dyDescent="0.2">
      <c r="A173" s="172">
        <v>28216</v>
      </c>
      <c r="B173" s="93">
        <v>799</v>
      </c>
      <c r="C173" s="93">
        <v>90</v>
      </c>
      <c r="D173" s="93">
        <v>167</v>
      </c>
      <c r="E173" s="93">
        <v>308</v>
      </c>
      <c r="F173" s="93">
        <v>234</v>
      </c>
    </row>
    <row r="174" spans="1:6" x14ac:dyDescent="0.2">
      <c r="A174" s="172">
        <v>28246</v>
      </c>
      <c r="B174" s="93">
        <v>807</v>
      </c>
      <c r="C174" s="93">
        <v>96</v>
      </c>
      <c r="D174" s="93">
        <v>157</v>
      </c>
      <c r="E174" s="93">
        <v>309</v>
      </c>
      <c r="F174" s="93">
        <v>245</v>
      </c>
    </row>
    <row r="175" spans="1:6" x14ac:dyDescent="0.2">
      <c r="A175" s="172">
        <v>28277</v>
      </c>
      <c r="B175" s="93">
        <v>805</v>
      </c>
      <c r="C175" s="93">
        <v>84</v>
      </c>
      <c r="D175" s="93">
        <v>162</v>
      </c>
      <c r="E175" s="93">
        <v>309</v>
      </c>
      <c r="F175" s="93">
        <v>251</v>
      </c>
    </row>
    <row r="176" spans="1:6" x14ac:dyDescent="0.2">
      <c r="A176" s="172">
        <v>28307</v>
      </c>
      <c r="B176" s="93">
        <v>755</v>
      </c>
      <c r="C176" s="93">
        <v>79</v>
      </c>
      <c r="D176" s="93">
        <v>162</v>
      </c>
      <c r="E176" s="93">
        <v>293</v>
      </c>
      <c r="F176" s="93">
        <v>221</v>
      </c>
    </row>
    <row r="177" spans="1:6" x14ac:dyDescent="0.2">
      <c r="A177" s="172">
        <v>28338</v>
      </c>
      <c r="B177" s="93">
        <v>808</v>
      </c>
      <c r="C177" s="93">
        <v>89</v>
      </c>
      <c r="D177" s="93">
        <v>169</v>
      </c>
      <c r="E177" s="93">
        <v>291</v>
      </c>
      <c r="F177" s="93">
        <v>259</v>
      </c>
    </row>
    <row r="178" spans="1:6" x14ac:dyDescent="0.2">
      <c r="A178" s="172">
        <v>28369</v>
      </c>
      <c r="B178" s="93">
        <v>842</v>
      </c>
      <c r="C178" s="93">
        <v>91</v>
      </c>
      <c r="D178" s="93">
        <v>168</v>
      </c>
      <c r="E178" s="93">
        <v>334</v>
      </c>
      <c r="F178" s="93">
        <v>249</v>
      </c>
    </row>
    <row r="179" spans="1:6" x14ac:dyDescent="0.2">
      <c r="A179" s="172">
        <v>28399</v>
      </c>
      <c r="B179" s="93">
        <v>819</v>
      </c>
      <c r="C179" s="93">
        <v>85</v>
      </c>
      <c r="D179" s="93">
        <v>178</v>
      </c>
      <c r="E179" s="93">
        <v>297</v>
      </c>
      <c r="F179" s="93">
        <v>259</v>
      </c>
    </row>
    <row r="180" spans="1:6" x14ac:dyDescent="0.2">
      <c r="A180" s="172">
        <v>28430</v>
      </c>
      <c r="B180" s="93">
        <v>829</v>
      </c>
      <c r="C180" s="93">
        <v>101</v>
      </c>
      <c r="D180" s="93">
        <v>152</v>
      </c>
      <c r="E180" s="93">
        <v>325</v>
      </c>
      <c r="F180" s="93">
        <v>252</v>
      </c>
    </row>
    <row r="181" spans="1:6" x14ac:dyDescent="0.2">
      <c r="A181" s="172">
        <v>28460</v>
      </c>
      <c r="B181" s="93">
        <v>835</v>
      </c>
      <c r="C181" s="93">
        <v>72</v>
      </c>
      <c r="D181" s="93">
        <v>169</v>
      </c>
      <c r="E181" s="93">
        <v>344</v>
      </c>
      <c r="F181" s="93">
        <v>251</v>
      </c>
    </row>
    <row r="182" spans="1:6" x14ac:dyDescent="0.2">
      <c r="A182" s="172">
        <v>28491</v>
      </c>
      <c r="B182" s="93">
        <v>795</v>
      </c>
      <c r="C182" s="93">
        <v>66</v>
      </c>
      <c r="D182" s="93">
        <v>132</v>
      </c>
      <c r="E182" s="93">
        <v>334</v>
      </c>
      <c r="F182" s="93">
        <v>263</v>
      </c>
    </row>
    <row r="183" spans="1:6" x14ac:dyDescent="0.2">
      <c r="A183" s="172">
        <v>28522</v>
      </c>
      <c r="B183" s="93">
        <v>791</v>
      </c>
      <c r="C183" s="93">
        <v>83</v>
      </c>
      <c r="D183" s="93">
        <v>159</v>
      </c>
      <c r="E183" s="93">
        <v>302</v>
      </c>
      <c r="F183" s="93">
        <v>248</v>
      </c>
    </row>
    <row r="184" spans="1:6" x14ac:dyDescent="0.2">
      <c r="A184" s="172">
        <v>28550</v>
      </c>
      <c r="B184" s="93">
        <v>814</v>
      </c>
      <c r="C184" s="93">
        <v>75</v>
      </c>
      <c r="D184" s="93">
        <v>152</v>
      </c>
      <c r="E184" s="93">
        <v>335</v>
      </c>
      <c r="F184" s="93">
        <v>253</v>
      </c>
    </row>
    <row r="185" spans="1:6" x14ac:dyDescent="0.2">
      <c r="A185" s="172">
        <v>28581</v>
      </c>
      <c r="B185" s="93">
        <v>864</v>
      </c>
      <c r="C185" s="93">
        <v>85</v>
      </c>
      <c r="D185" s="93">
        <v>159</v>
      </c>
      <c r="E185" s="93">
        <v>338</v>
      </c>
      <c r="F185" s="93">
        <v>282</v>
      </c>
    </row>
    <row r="186" spans="1:6" x14ac:dyDescent="0.2">
      <c r="A186" s="172">
        <v>28611</v>
      </c>
      <c r="B186" s="93">
        <v>857</v>
      </c>
      <c r="C186" s="93">
        <v>72</v>
      </c>
      <c r="D186" s="93">
        <v>155</v>
      </c>
      <c r="E186" s="93">
        <v>359</v>
      </c>
      <c r="F186" s="93">
        <v>271</v>
      </c>
    </row>
    <row r="187" spans="1:6" x14ac:dyDescent="0.2">
      <c r="A187" s="172">
        <v>28642</v>
      </c>
      <c r="B187" s="93">
        <v>834</v>
      </c>
      <c r="C187" s="93">
        <v>90</v>
      </c>
      <c r="D187" s="93">
        <v>118</v>
      </c>
      <c r="E187" s="93">
        <v>343</v>
      </c>
      <c r="F187" s="93">
        <v>282</v>
      </c>
    </row>
    <row r="188" spans="1:6" x14ac:dyDescent="0.2">
      <c r="A188" s="172">
        <v>28672</v>
      </c>
      <c r="B188" s="93">
        <v>789</v>
      </c>
      <c r="C188" s="93">
        <v>82</v>
      </c>
      <c r="D188" s="93">
        <v>133</v>
      </c>
      <c r="E188" s="93">
        <v>329</v>
      </c>
      <c r="F188" s="93">
        <v>246</v>
      </c>
    </row>
    <row r="189" spans="1:6" x14ac:dyDescent="0.2">
      <c r="A189" s="172">
        <v>28703</v>
      </c>
      <c r="B189" s="93">
        <v>756</v>
      </c>
      <c r="C189" s="93">
        <v>76</v>
      </c>
      <c r="D189" s="93">
        <v>140</v>
      </c>
      <c r="E189" s="93">
        <v>275</v>
      </c>
      <c r="F189" s="93">
        <v>265</v>
      </c>
    </row>
    <row r="190" spans="1:6" x14ac:dyDescent="0.2">
      <c r="A190" s="172">
        <v>28734</v>
      </c>
      <c r="B190" s="93">
        <v>812</v>
      </c>
      <c r="C190" s="93">
        <v>75</v>
      </c>
      <c r="D190" s="93">
        <v>123</v>
      </c>
      <c r="E190" s="93">
        <v>350</v>
      </c>
      <c r="F190" s="93">
        <v>265</v>
      </c>
    </row>
    <row r="191" spans="1:6" x14ac:dyDescent="0.2">
      <c r="A191" s="172">
        <v>28764</v>
      </c>
      <c r="B191" s="93">
        <v>872</v>
      </c>
      <c r="C191" s="93">
        <v>63</v>
      </c>
      <c r="D191" s="93">
        <v>170</v>
      </c>
      <c r="E191" s="93">
        <v>359</v>
      </c>
      <c r="F191" s="93">
        <v>280</v>
      </c>
    </row>
    <row r="192" spans="1:6" x14ac:dyDescent="0.2">
      <c r="A192" s="172">
        <v>28795</v>
      </c>
      <c r="B192" s="93">
        <v>798</v>
      </c>
      <c r="C192" s="93">
        <v>72</v>
      </c>
      <c r="D192" s="93">
        <v>136</v>
      </c>
      <c r="E192" s="93">
        <v>340</v>
      </c>
      <c r="F192" s="93">
        <v>250</v>
      </c>
    </row>
    <row r="193" spans="1:6" x14ac:dyDescent="0.2">
      <c r="A193" s="172">
        <v>28825</v>
      </c>
      <c r="B193" s="93">
        <v>805</v>
      </c>
      <c r="C193" s="93">
        <v>98</v>
      </c>
      <c r="D193" s="93">
        <v>135</v>
      </c>
      <c r="E193" s="93">
        <v>326</v>
      </c>
      <c r="F193" s="93">
        <v>245</v>
      </c>
    </row>
    <row r="194" spans="1:6" x14ac:dyDescent="0.2">
      <c r="A194" s="172">
        <v>28856</v>
      </c>
      <c r="B194" s="93">
        <v>754</v>
      </c>
      <c r="C194" s="93">
        <v>103</v>
      </c>
      <c r="D194" s="93">
        <v>118</v>
      </c>
      <c r="E194" s="93">
        <v>286</v>
      </c>
      <c r="F194" s="93">
        <v>247</v>
      </c>
    </row>
    <row r="195" spans="1:6" x14ac:dyDescent="0.2">
      <c r="A195" s="172">
        <v>28887</v>
      </c>
      <c r="B195" s="93">
        <v>723</v>
      </c>
      <c r="C195" s="93">
        <v>54</v>
      </c>
      <c r="D195" s="93">
        <v>119</v>
      </c>
      <c r="E195" s="93">
        <v>300</v>
      </c>
      <c r="F195" s="93">
        <v>249</v>
      </c>
    </row>
    <row r="196" spans="1:6" x14ac:dyDescent="0.2">
      <c r="A196" s="172">
        <v>28915</v>
      </c>
      <c r="B196" s="93">
        <v>793</v>
      </c>
      <c r="C196" s="93">
        <v>73</v>
      </c>
      <c r="D196" s="93">
        <v>118</v>
      </c>
      <c r="E196" s="93">
        <v>323</v>
      </c>
      <c r="F196" s="93">
        <v>279</v>
      </c>
    </row>
    <row r="197" spans="1:6" x14ac:dyDescent="0.2">
      <c r="A197" s="172">
        <v>28946</v>
      </c>
      <c r="B197" s="93">
        <v>748</v>
      </c>
      <c r="C197" s="93">
        <v>73</v>
      </c>
      <c r="D197" s="93">
        <v>114</v>
      </c>
      <c r="E197" s="93">
        <v>336</v>
      </c>
      <c r="F197" s="93">
        <v>225</v>
      </c>
    </row>
    <row r="198" spans="1:6" x14ac:dyDescent="0.2">
      <c r="A198" s="172">
        <v>28976</v>
      </c>
      <c r="B198" s="93">
        <v>727</v>
      </c>
      <c r="C198" s="93">
        <v>73</v>
      </c>
      <c r="D198" s="93">
        <v>128</v>
      </c>
      <c r="E198" s="93">
        <v>286</v>
      </c>
      <c r="F198" s="93">
        <v>241</v>
      </c>
    </row>
    <row r="199" spans="1:6" x14ac:dyDescent="0.2">
      <c r="A199" s="172">
        <v>29007</v>
      </c>
      <c r="B199" s="93">
        <v>700</v>
      </c>
      <c r="C199" s="93">
        <v>70</v>
      </c>
      <c r="D199" s="93">
        <v>128</v>
      </c>
      <c r="E199" s="93">
        <v>295</v>
      </c>
      <c r="F199" s="93">
        <v>207</v>
      </c>
    </row>
    <row r="200" spans="1:6" x14ac:dyDescent="0.2">
      <c r="A200" s="172">
        <v>29037</v>
      </c>
      <c r="B200" s="93">
        <v>715</v>
      </c>
      <c r="C200" s="93">
        <v>60</v>
      </c>
      <c r="D200" s="93">
        <v>130</v>
      </c>
      <c r="E200" s="93">
        <v>314</v>
      </c>
      <c r="F200" s="93">
        <v>211</v>
      </c>
    </row>
    <row r="201" spans="1:6" x14ac:dyDescent="0.2">
      <c r="A201" s="172">
        <v>29068</v>
      </c>
      <c r="B201" s="93">
        <v>729</v>
      </c>
      <c r="C201" s="93">
        <v>65</v>
      </c>
      <c r="D201" s="93">
        <v>100</v>
      </c>
      <c r="E201" s="93">
        <v>350</v>
      </c>
      <c r="F201" s="93">
        <v>214</v>
      </c>
    </row>
    <row r="202" spans="1:6" x14ac:dyDescent="0.2">
      <c r="A202" s="172">
        <v>29099</v>
      </c>
      <c r="B202" s="93">
        <v>727</v>
      </c>
      <c r="C202" s="93">
        <v>57</v>
      </c>
      <c r="D202" s="93">
        <v>96</v>
      </c>
      <c r="E202" s="93">
        <v>309</v>
      </c>
      <c r="F202" s="93">
        <v>266</v>
      </c>
    </row>
    <row r="203" spans="1:6" x14ac:dyDescent="0.2">
      <c r="A203" s="172">
        <v>29129</v>
      </c>
      <c r="B203" s="93">
        <v>670</v>
      </c>
      <c r="C203" s="93">
        <v>72</v>
      </c>
      <c r="D203" s="93">
        <v>100</v>
      </c>
      <c r="E203" s="93">
        <v>317</v>
      </c>
      <c r="F203" s="93">
        <v>181</v>
      </c>
    </row>
    <row r="204" spans="1:6" x14ac:dyDescent="0.2">
      <c r="A204" s="172">
        <v>29160</v>
      </c>
      <c r="B204" s="93">
        <v>597</v>
      </c>
      <c r="C204" s="93">
        <v>59</v>
      </c>
      <c r="D204" s="93">
        <v>102</v>
      </c>
      <c r="E204" s="93">
        <v>277</v>
      </c>
      <c r="F204" s="93">
        <v>159</v>
      </c>
    </row>
    <row r="205" spans="1:6" x14ac:dyDescent="0.2">
      <c r="A205" s="172">
        <v>29190</v>
      </c>
      <c r="B205" s="93">
        <v>559</v>
      </c>
      <c r="C205" s="93">
        <v>56</v>
      </c>
      <c r="D205" s="93">
        <v>81</v>
      </c>
      <c r="E205" s="93">
        <v>232</v>
      </c>
      <c r="F205" s="93">
        <v>190</v>
      </c>
    </row>
    <row r="206" spans="1:6" x14ac:dyDescent="0.2">
      <c r="A206" s="172">
        <v>29221</v>
      </c>
      <c r="B206" s="93">
        <v>592</v>
      </c>
      <c r="C206" s="93">
        <v>51</v>
      </c>
      <c r="D206" s="93">
        <v>82</v>
      </c>
      <c r="E206" s="93">
        <v>289</v>
      </c>
      <c r="F206" s="93">
        <v>170</v>
      </c>
    </row>
    <row r="207" spans="1:6" x14ac:dyDescent="0.2">
      <c r="A207" s="172">
        <v>29252</v>
      </c>
      <c r="B207" s="93">
        <v>541</v>
      </c>
      <c r="C207" s="93">
        <v>55</v>
      </c>
      <c r="D207" s="93">
        <v>84</v>
      </c>
      <c r="E207" s="93">
        <v>261</v>
      </c>
      <c r="F207" s="93">
        <v>141</v>
      </c>
    </row>
    <row r="208" spans="1:6" x14ac:dyDescent="0.2">
      <c r="A208" s="172">
        <v>29281</v>
      </c>
      <c r="B208" s="93">
        <v>474</v>
      </c>
      <c r="C208" s="93">
        <v>49</v>
      </c>
      <c r="D208" s="93">
        <v>76</v>
      </c>
      <c r="E208" s="93">
        <v>226</v>
      </c>
      <c r="F208" s="93">
        <v>123</v>
      </c>
    </row>
    <row r="209" spans="1:6" x14ac:dyDescent="0.2">
      <c r="A209" s="172">
        <v>29312</v>
      </c>
      <c r="B209" s="93">
        <v>370</v>
      </c>
      <c r="C209" s="93">
        <v>35</v>
      </c>
      <c r="D209" s="93">
        <v>71</v>
      </c>
      <c r="E209" s="93">
        <v>172</v>
      </c>
      <c r="F209" s="93">
        <v>91</v>
      </c>
    </row>
    <row r="210" spans="1:6" x14ac:dyDescent="0.2">
      <c r="A210" s="172">
        <v>29342</v>
      </c>
      <c r="B210" s="93">
        <v>469</v>
      </c>
      <c r="C210" s="93">
        <v>35</v>
      </c>
      <c r="D210" s="93">
        <v>65</v>
      </c>
      <c r="E210" s="93">
        <v>252</v>
      </c>
      <c r="F210" s="93">
        <v>117</v>
      </c>
    </row>
    <row r="211" spans="1:6" x14ac:dyDescent="0.2">
      <c r="A211" s="172">
        <v>29373</v>
      </c>
      <c r="B211" s="93">
        <v>552</v>
      </c>
      <c r="C211" s="93">
        <v>39</v>
      </c>
      <c r="D211" s="93">
        <v>69</v>
      </c>
      <c r="E211" s="93">
        <v>287</v>
      </c>
      <c r="F211" s="93">
        <v>156</v>
      </c>
    </row>
    <row r="212" spans="1:6" x14ac:dyDescent="0.2">
      <c r="A212" s="172">
        <v>29403</v>
      </c>
      <c r="B212" s="93">
        <v>636</v>
      </c>
      <c r="C212" s="93">
        <v>49</v>
      </c>
      <c r="D212" s="93">
        <v>80</v>
      </c>
      <c r="E212" s="93">
        <v>317</v>
      </c>
      <c r="F212" s="93">
        <v>190</v>
      </c>
    </row>
    <row r="213" spans="1:6" x14ac:dyDescent="0.2">
      <c r="A213" s="172">
        <v>29434</v>
      </c>
      <c r="B213" s="93">
        <v>659</v>
      </c>
      <c r="C213" s="93">
        <v>64</v>
      </c>
      <c r="D213" s="93">
        <v>108</v>
      </c>
      <c r="E213" s="93">
        <v>316</v>
      </c>
      <c r="F213" s="93">
        <v>171</v>
      </c>
    </row>
    <row r="214" spans="1:6" x14ac:dyDescent="0.2">
      <c r="A214" s="172">
        <v>29465</v>
      </c>
      <c r="B214" s="93">
        <v>596</v>
      </c>
      <c r="C214" s="93">
        <v>63</v>
      </c>
      <c r="D214" s="93">
        <v>85</v>
      </c>
      <c r="E214" s="93">
        <v>281</v>
      </c>
      <c r="F214" s="93">
        <v>167</v>
      </c>
    </row>
    <row r="215" spans="1:6" x14ac:dyDescent="0.2">
      <c r="A215" s="172">
        <v>29495</v>
      </c>
      <c r="B215" s="93">
        <v>561</v>
      </c>
      <c r="C215" s="93">
        <v>63</v>
      </c>
      <c r="D215" s="93">
        <v>93</v>
      </c>
      <c r="E215" s="93">
        <v>269</v>
      </c>
      <c r="F215" s="93">
        <v>136</v>
      </c>
    </row>
    <row r="216" spans="1:6" x14ac:dyDescent="0.2">
      <c r="A216" s="172">
        <v>29526</v>
      </c>
      <c r="B216" s="93">
        <v>562</v>
      </c>
      <c r="C216" s="93">
        <v>52</v>
      </c>
      <c r="D216" s="93">
        <v>81</v>
      </c>
      <c r="E216" s="93">
        <v>280</v>
      </c>
      <c r="F216" s="93">
        <v>148</v>
      </c>
    </row>
    <row r="217" spans="1:6" x14ac:dyDescent="0.2">
      <c r="A217" s="172">
        <v>29556</v>
      </c>
      <c r="B217" s="93">
        <v>532</v>
      </c>
      <c r="C217" s="93">
        <v>51</v>
      </c>
      <c r="D217" s="93">
        <v>76</v>
      </c>
      <c r="E217" s="93">
        <v>274</v>
      </c>
      <c r="F217" s="93">
        <v>131</v>
      </c>
    </row>
    <row r="218" spans="1:6" x14ac:dyDescent="0.2">
      <c r="A218" s="172">
        <v>29587</v>
      </c>
      <c r="B218" s="93">
        <v>511</v>
      </c>
      <c r="C218" s="93">
        <v>53</v>
      </c>
      <c r="D218" s="93">
        <v>70</v>
      </c>
      <c r="E218" s="93">
        <v>253</v>
      </c>
      <c r="F218" s="93">
        <v>135</v>
      </c>
    </row>
    <row r="219" spans="1:6" x14ac:dyDescent="0.2">
      <c r="A219" s="172">
        <v>29618</v>
      </c>
      <c r="B219" s="93">
        <v>510</v>
      </c>
      <c r="C219" s="93">
        <v>45</v>
      </c>
      <c r="D219" s="93">
        <v>64</v>
      </c>
      <c r="E219" s="93">
        <v>270</v>
      </c>
      <c r="F219" s="93">
        <v>132</v>
      </c>
    </row>
    <row r="220" spans="1:6" x14ac:dyDescent="0.2">
      <c r="A220" s="172">
        <v>29646</v>
      </c>
      <c r="B220" s="93">
        <v>514</v>
      </c>
      <c r="C220" s="93">
        <v>50</v>
      </c>
      <c r="D220" s="93">
        <v>72</v>
      </c>
      <c r="E220" s="93">
        <v>264</v>
      </c>
      <c r="F220" s="93">
        <v>128</v>
      </c>
    </row>
    <row r="221" spans="1:6" x14ac:dyDescent="0.2">
      <c r="A221" s="172">
        <v>29677</v>
      </c>
      <c r="B221" s="93">
        <v>470</v>
      </c>
      <c r="C221" s="93">
        <v>52</v>
      </c>
      <c r="D221" s="93">
        <v>61</v>
      </c>
      <c r="E221" s="93">
        <v>230</v>
      </c>
      <c r="F221" s="93">
        <v>127</v>
      </c>
    </row>
    <row r="222" spans="1:6" x14ac:dyDescent="0.2">
      <c r="A222" s="172">
        <v>29707</v>
      </c>
      <c r="B222" s="93">
        <v>467</v>
      </c>
      <c r="C222" s="93">
        <v>49</v>
      </c>
      <c r="D222" s="93">
        <v>59</v>
      </c>
      <c r="E222" s="93">
        <v>241</v>
      </c>
      <c r="F222" s="93">
        <v>118</v>
      </c>
    </row>
    <row r="223" spans="1:6" x14ac:dyDescent="0.2">
      <c r="A223" s="172">
        <v>29738</v>
      </c>
      <c r="B223" s="93">
        <v>415</v>
      </c>
      <c r="C223" s="93">
        <v>48</v>
      </c>
      <c r="D223" s="93">
        <v>64</v>
      </c>
      <c r="E223" s="93">
        <v>205</v>
      </c>
      <c r="F223" s="93">
        <v>97</v>
      </c>
    </row>
    <row r="224" spans="1:6" x14ac:dyDescent="0.2">
      <c r="A224" s="172">
        <v>29768</v>
      </c>
      <c r="B224" s="93">
        <v>431</v>
      </c>
      <c r="C224" s="93">
        <v>57</v>
      </c>
      <c r="D224" s="93">
        <v>62</v>
      </c>
      <c r="E224" s="93">
        <v>193</v>
      </c>
      <c r="F224" s="93">
        <v>118</v>
      </c>
    </row>
    <row r="225" spans="1:6" x14ac:dyDescent="0.2">
      <c r="A225" s="172">
        <v>29799</v>
      </c>
      <c r="B225" s="93">
        <v>378</v>
      </c>
      <c r="C225" s="93">
        <v>40</v>
      </c>
      <c r="D225" s="93">
        <v>60</v>
      </c>
      <c r="E225" s="93">
        <v>185</v>
      </c>
      <c r="F225" s="93">
        <v>93</v>
      </c>
    </row>
    <row r="226" spans="1:6" x14ac:dyDescent="0.2">
      <c r="A226" s="172">
        <v>29830</v>
      </c>
      <c r="B226" s="93">
        <v>338</v>
      </c>
      <c r="C226" s="93">
        <v>38</v>
      </c>
      <c r="D226" s="93">
        <v>58</v>
      </c>
      <c r="E226" s="93">
        <v>165</v>
      </c>
      <c r="F226" s="93">
        <v>77</v>
      </c>
    </row>
    <row r="227" spans="1:6" x14ac:dyDescent="0.2">
      <c r="A227" s="172">
        <v>29860</v>
      </c>
      <c r="B227" s="93">
        <v>356</v>
      </c>
      <c r="C227" s="93">
        <v>26</v>
      </c>
      <c r="D227" s="93">
        <v>52</v>
      </c>
      <c r="E227" s="93">
        <v>177</v>
      </c>
      <c r="F227" s="93">
        <v>101</v>
      </c>
    </row>
    <row r="228" spans="1:6" x14ac:dyDescent="0.2">
      <c r="A228" s="172">
        <v>29891</v>
      </c>
      <c r="B228" s="93">
        <v>382</v>
      </c>
      <c r="C228" s="93">
        <v>51</v>
      </c>
      <c r="D228" s="93">
        <v>51</v>
      </c>
      <c r="E228" s="93">
        <v>193</v>
      </c>
      <c r="F228" s="93">
        <v>86</v>
      </c>
    </row>
    <row r="229" spans="1:6" x14ac:dyDescent="0.2">
      <c r="A229" s="172">
        <v>29921</v>
      </c>
      <c r="B229" s="93">
        <v>457</v>
      </c>
      <c r="C229" s="93">
        <v>46</v>
      </c>
      <c r="D229" s="93">
        <v>44</v>
      </c>
      <c r="E229" s="93">
        <v>240</v>
      </c>
      <c r="F229" s="93">
        <v>127</v>
      </c>
    </row>
    <row r="230" spans="1:6" x14ac:dyDescent="0.2">
      <c r="A230" s="172">
        <v>29952</v>
      </c>
      <c r="B230" s="93">
        <v>368</v>
      </c>
      <c r="C230" s="93">
        <v>29</v>
      </c>
      <c r="D230" s="93">
        <v>45</v>
      </c>
      <c r="E230" s="93">
        <v>208</v>
      </c>
      <c r="F230" s="93">
        <v>87</v>
      </c>
    </row>
    <row r="231" spans="1:6" x14ac:dyDescent="0.2">
      <c r="A231" s="172">
        <v>29983</v>
      </c>
      <c r="B231" s="93">
        <v>365</v>
      </c>
      <c r="C231" s="93">
        <v>61</v>
      </c>
      <c r="D231" s="93">
        <v>41</v>
      </c>
      <c r="E231" s="93">
        <v>177</v>
      </c>
      <c r="F231" s="93">
        <v>85</v>
      </c>
    </row>
    <row r="232" spans="1:6" x14ac:dyDescent="0.2">
      <c r="A232" s="172">
        <v>30011</v>
      </c>
      <c r="B232" s="93">
        <v>374</v>
      </c>
      <c r="C232" s="93">
        <v>42</v>
      </c>
      <c r="D232" s="93">
        <v>42</v>
      </c>
      <c r="E232" s="93">
        <v>215</v>
      </c>
      <c r="F232" s="93">
        <v>76</v>
      </c>
    </row>
    <row r="233" spans="1:6" x14ac:dyDescent="0.2">
      <c r="A233" s="172">
        <v>30042</v>
      </c>
      <c r="B233" s="93">
        <v>339</v>
      </c>
      <c r="C233" s="93">
        <v>43</v>
      </c>
      <c r="D233" s="93">
        <v>34</v>
      </c>
      <c r="E233" s="93">
        <v>189</v>
      </c>
      <c r="F233" s="93">
        <v>74</v>
      </c>
    </row>
    <row r="234" spans="1:6" x14ac:dyDescent="0.2">
      <c r="A234" s="172">
        <v>30072</v>
      </c>
      <c r="B234" s="93">
        <v>384</v>
      </c>
      <c r="C234" s="93">
        <v>46</v>
      </c>
      <c r="D234" s="93">
        <v>45</v>
      </c>
      <c r="E234" s="93">
        <v>208</v>
      </c>
      <c r="F234" s="93">
        <v>85</v>
      </c>
    </row>
    <row r="235" spans="1:6" x14ac:dyDescent="0.2">
      <c r="A235" s="172">
        <v>30103</v>
      </c>
      <c r="B235" s="93">
        <v>370</v>
      </c>
      <c r="C235" s="93">
        <v>36</v>
      </c>
      <c r="D235" s="93">
        <v>47</v>
      </c>
      <c r="E235" s="93">
        <v>191</v>
      </c>
      <c r="F235" s="93">
        <v>97</v>
      </c>
    </row>
    <row r="236" spans="1:6" x14ac:dyDescent="0.2">
      <c r="A236" s="172">
        <v>30133</v>
      </c>
      <c r="B236" s="93">
        <v>375</v>
      </c>
      <c r="C236" s="93">
        <v>42</v>
      </c>
      <c r="D236" s="93">
        <v>43</v>
      </c>
      <c r="E236" s="93">
        <v>197</v>
      </c>
      <c r="F236" s="93">
        <v>93</v>
      </c>
    </row>
    <row r="237" spans="1:6" x14ac:dyDescent="0.2">
      <c r="A237" s="172">
        <v>30164</v>
      </c>
      <c r="B237" s="93">
        <v>407</v>
      </c>
      <c r="C237" s="93">
        <v>38</v>
      </c>
      <c r="D237" s="93">
        <v>51</v>
      </c>
      <c r="E237" s="93">
        <v>212</v>
      </c>
      <c r="F237" s="93">
        <v>106</v>
      </c>
    </row>
    <row r="238" spans="1:6" x14ac:dyDescent="0.2">
      <c r="A238" s="172">
        <v>30195</v>
      </c>
      <c r="B238" s="93">
        <v>481</v>
      </c>
      <c r="C238" s="93">
        <v>58</v>
      </c>
      <c r="D238" s="93">
        <v>66</v>
      </c>
      <c r="E238" s="93">
        <v>252</v>
      </c>
      <c r="F238" s="93">
        <v>106</v>
      </c>
    </row>
    <row r="239" spans="1:6" x14ac:dyDescent="0.2">
      <c r="A239" s="172">
        <v>30225</v>
      </c>
      <c r="B239" s="93">
        <v>480</v>
      </c>
      <c r="C239" s="93">
        <v>54</v>
      </c>
      <c r="D239" s="93">
        <v>44</v>
      </c>
      <c r="E239" s="93">
        <v>264</v>
      </c>
      <c r="F239" s="93">
        <v>118</v>
      </c>
    </row>
    <row r="240" spans="1:6" x14ac:dyDescent="0.2">
      <c r="A240" s="172">
        <v>30256</v>
      </c>
      <c r="B240" s="93">
        <v>554</v>
      </c>
      <c r="C240" s="93">
        <v>59</v>
      </c>
      <c r="D240" s="93">
        <v>55</v>
      </c>
      <c r="E240" s="93">
        <v>294</v>
      </c>
      <c r="F240" s="93">
        <v>145</v>
      </c>
    </row>
    <row r="241" spans="1:6" x14ac:dyDescent="0.2">
      <c r="A241" s="172">
        <v>30286</v>
      </c>
      <c r="B241" s="93">
        <v>521</v>
      </c>
      <c r="C241" s="93">
        <v>58</v>
      </c>
      <c r="D241" s="93">
        <v>60</v>
      </c>
      <c r="E241" s="93">
        <v>270</v>
      </c>
      <c r="F241" s="93">
        <v>133</v>
      </c>
    </row>
    <row r="242" spans="1:6" x14ac:dyDescent="0.2">
      <c r="A242" s="172">
        <v>30317</v>
      </c>
      <c r="B242" s="93">
        <v>582</v>
      </c>
      <c r="C242" s="93">
        <v>71</v>
      </c>
      <c r="D242" s="93">
        <v>67</v>
      </c>
      <c r="E242" s="93">
        <v>307</v>
      </c>
      <c r="F242" s="93">
        <v>138</v>
      </c>
    </row>
    <row r="243" spans="1:6" x14ac:dyDescent="0.2">
      <c r="A243" s="172">
        <v>30348</v>
      </c>
      <c r="B243" s="93">
        <v>562</v>
      </c>
      <c r="C243" s="93">
        <v>68</v>
      </c>
      <c r="D243" s="93">
        <v>62</v>
      </c>
      <c r="E243" s="93">
        <v>290</v>
      </c>
      <c r="F243" s="93">
        <v>142</v>
      </c>
    </row>
    <row r="244" spans="1:6" x14ac:dyDescent="0.2">
      <c r="A244" s="172">
        <v>30376</v>
      </c>
      <c r="B244" s="93">
        <v>596</v>
      </c>
      <c r="C244" s="93">
        <v>73</v>
      </c>
      <c r="D244" s="93">
        <v>72</v>
      </c>
      <c r="E244" s="93">
        <v>299</v>
      </c>
      <c r="F244" s="93">
        <v>152</v>
      </c>
    </row>
    <row r="245" spans="1:6" x14ac:dyDescent="0.2">
      <c r="A245" s="172">
        <v>30407</v>
      </c>
      <c r="B245" s="93">
        <v>638</v>
      </c>
      <c r="C245" s="93">
        <v>78</v>
      </c>
      <c r="D245" s="93">
        <v>75</v>
      </c>
      <c r="E245" s="93">
        <v>320</v>
      </c>
      <c r="F245" s="93">
        <v>166</v>
      </c>
    </row>
    <row r="246" spans="1:6" x14ac:dyDescent="0.2">
      <c r="A246" s="172">
        <v>30437</v>
      </c>
      <c r="B246" s="93">
        <v>664</v>
      </c>
      <c r="C246" s="93">
        <v>77</v>
      </c>
      <c r="D246" s="93">
        <v>78</v>
      </c>
      <c r="E246" s="93">
        <v>327</v>
      </c>
      <c r="F246" s="93">
        <v>182</v>
      </c>
    </row>
    <row r="247" spans="1:6" x14ac:dyDescent="0.2">
      <c r="A247" s="172">
        <v>30468</v>
      </c>
      <c r="B247" s="93">
        <v>651</v>
      </c>
      <c r="C247" s="93">
        <v>85</v>
      </c>
      <c r="D247" s="93">
        <v>77</v>
      </c>
      <c r="E247" s="93">
        <v>340</v>
      </c>
      <c r="F247" s="93">
        <v>148</v>
      </c>
    </row>
    <row r="248" spans="1:6" x14ac:dyDescent="0.2">
      <c r="A248" s="172">
        <v>30498</v>
      </c>
      <c r="B248" s="93">
        <v>415300</v>
      </c>
      <c r="C248" s="93">
        <v>615200</v>
      </c>
      <c r="D248" s="93">
        <v>389500</v>
      </c>
      <c r="E248" s="93">
        <v>367700</v>
      </c>
      <c r="F248" s="93">
        <v>552200</v>
      </c>
    </row>
    <row r="249" spans="1:6" x14ac:dyDescent="0.2">
      <c r="A249" s="172" t="s">
        <v>422</v>
      </c>
      <c r="B249" s="93">
        <v>419200</v>
      </c>
      <c r="C249" s="93">
        <v>798800</v>
      </c>
      <c r="D249" s="93">
        <v>368400</v>
      </c>
      <c r="E249" s="93">
        <v>377200</v>
      </c>
      <c r="F249" s="93">
        <v>560900</v>
      </c>
    </row>
    <row r="250" spans="1:6" x14ac:dyDescent="0.2">
      <c r="A250" s="172">
        <v>30560</v>
      </c>
      <c r="B250" s="93">
        <v>608</v>
      </c>
      <c r="C250" s="93">
        <v>76</v>
      </c>
      <c r="D250" s="93">
        <v>70</v>
      </c>
      <c r="E250" s="93">
        <v>324</v>
      </c>
      <c r="F250" s="93">
        <v>139</v>
      </c>
    </row>
    <row r="251" spans="1:6" x14ac:dyDescent="0.2">
      <c r="A251" s="172">
        <v>30590</v>
      </c>
      <c r="B251" s="93">
        <v>632</v>
      </c>
      <c r="C251" s="93">
        <v>71</v>
      </c>
      <c r="D251" s="93">
        <v>69</v>
      </c>
      <c r="E251" s="93">
        <v>342</v>
      </c>
      <c r="F251" s="93">
        <v>149</v>
      </c>
    </row>
    <row r="252" spans="1:6" x14ac:dyDescent="0.2">
      <c r="A252" s="172">
        <v>30621</v>
      </c>
      <c r="B252" s="93">
        <v>644</v>
      </c>
      <c r="C252" s="93">
        <v>75</v>
      </c>
      <c r="D252" s="93">
        <v>81</v>
      </c>
      <c r="E252" s="93">
        <v>326</v>
      </c>
      <c r="F252" s="93">
        <v>162</v>
      </c>
    </row>
    <row r="253" spans="1:6" x14ac:dyDescent="0.2">
      <c r="A253" s="172">
        <v>30651</v>
      </c>
      <c r="B253" s="93">
        <v>773</v>
      </c>
      <c r="C253" s="93">
        <v>82</v>
      </c>
      <c r="D253" s="93">
        <v>77</v>
      </c>
      <c r="E253" s="93">
        <v>440</v>
      </c>
      <c r="F253" s="93">
        <v>174</v>
      </c>
    </row>
    <row r="254" spans="1:6" x14ac:dyDescent="0.2">
      <c r="A254" s="172">
        <v>30682</v>
      </c>
      <c r="B254" s="93">
        <v>691</v>
      </c>
      <c r="C254" s="93">
        <v>76</v>
      </c>
      <c r="D254" s="93">
        <v>85</v>
      </c>
      <c r="E254" s="93">
        <v>348</v>
      </c>
      <c r="F254" s="93">
        <v>182</v>
      </c>
    </row>
    <row r="255" spans="1:6" x14ac:dyDescent="0.2">
      <c r="A255" s="172">
        <v>30713</v>
      </c>
      <c r="B255" s="93">
        <v>696</v>
      </c>
      <c r="C255" s="93">
        <v>76</v>
      </c>
      <c r="D255" s="93">
        <v>76</v>
      </c>
      <c r="E255" s="93">
        <v>366</v>
      </c>
      <c r="F255" s="93">
        <v>178</v>
      </c>
    </row>
    <row r="256" spans="1:6" x14ac:dyDescent="0.2">
      <c r="A256" s="172">
        <v>30742</v>
      </c>
      <c r="B256" s="93">
        <v>641</v>
      </c>
      <c r="C256" s="93">
        <v>105</v>
      </c>
      <c r="D256" s="93">
        <v>67</v>
      </c>
      <c r="E256" s="93">
        <v>293</v>
      </c>
      <c r="F256" s="93">
        <v>177</v>
      </c>
    </row>
    <row r="257" spans="1:6" x14ac:dyDescent="0.2">
      <c r="A257" s="172">
        <v>30773</v>
      </c>
      <c r="B257" s="93">
        <v>639</v>
      </c>
      <c r="C257" s="93">
        <v>61</v>
      </c>
      <c r="D257" s="93">
        <v>89</v>
      </c>
      <c r="E257" s="93">
        <v>312</v>
      </c>
      <c r="F257" s="93">
        <v>177</v>
      </c>
    </row>
    <row r="258" spans="1:6" x14ac:dyDescent="0.2">
      <c r="A258" s="172">
        <v>30803</v>
      </c>
      <c r="B258" s="93">
        <v>615</v>
      </c>
      <c r="C258" s="93">
        <v>87</v>
      </c>
      <c r="D258" s="93">
        <v>74</v>
      </c>
      <c r="E258" s="93">
        <v>290</v>
      </c>
      <c r="F258" s="93">
        <v>164</v>
      </c>
    </row>
    <row r="259" spans="1:6" x14ac:dyDescent="0.2">
      <c r="A259" s="172">
        <v>30834</v>
      </c>
      <c r="B259" s="93">
        <v>630</v>
      </c>
      <c r="C259" s="93">
        <v>111</v>
      </c>
      <c r="D259" s="93">
        <v>74</v>
      </c>
      <c r="E259" s="93">
        <v>301</v>
      </c>
      <c r="F259" s="93">
        <v>144</v>
      </c>
    </row>
    <row r="260" spans="1:6" x14ac:dyDescent="0.2">
      <c r="A260" s="172">
        <v>30864</v>
      </c>
      <c r="B260" s="93">
        <v>619</v>
      </c>
      <c r="C260" s="93">
        <v>102</v>
      </c>
      <c r="D260" s="93">
        <v>74</v>
      </c>
      <c r="E260" s="93">
        <v>304</v>
      </c>
      <c r="F260" s="93">
        <v>138</v>
      </c>
    </row>
    <row r="261" spans="1:6" x14ac:dyDescent="0.2">
      <c r="A261" s="172">
        <v>30895</v>
      </c>
      <c r="B261" s="93">
        <v>567</v>
      </c>
      <c r="C261" s="93">
        <v>102</v>
      </c>
      <c r="D261" s="93">
        <v>73</v>
      </c>
      <c r="E261" s="93">
        <v>257</v>
      </c>
      <c r="F261" s="93">
        <v>136</v>
      </c>
    </row>
    <row r="262" spans="1:6" x14ac:dyDescent="0.2">
      <c r="A262" s="172">
        <v>30926</v>
      </c>
      <c r="B262" s="93">
        <v>662</v>
      </c>
      <c r="C262" s="93">
        <v>94</v>
      </c>
      <c r="D262" s="93">
        <v>75</v>
      </c>
      <c r="E262" s="93">
        <v>345</v>
      </c>
      <c r="F262" s="93">
        <v>147</v>
      </c>
    </row>
    <row r="263" spans="1:6" x14ac:dyDescent="0.2">
      <c r="A263" s="172">
        <v>30956</v>
      </c>
      <c r="B263" s="93">
        <v>687</v>
      </c>
      <c r="C263" s="93">
        <v>104</v>
      </c>
      <c r="D263" s="93">
        <v>75</v>
      </c>
      <c r="E263" s="93">
        <v>336</v>
      </c>
      <c r="F263" s="93">
        <v>172</v>
      </c>
    </row>
    <row r="264" spans="1:6" x14ac:dyDescent="0.2">
      <c r="A264" s="172">
        <v>30987</v>
      </c>
      <c r="B264" s="93">
        <v>597</v>
      </c>
      <c r="C264" s="93">
        <v>90</v>
      </c>
      <c r="D264" s="93">
        <v>70</v>
      </c>
      <c r="E264" s="93">
        <v>286</v>
      </c>
      <c r="F264" s="93">
        <v>152</v>
      </c>
    </row>
    <row r="265" spans="1:6" x14ac:dyDescent="0.2">
      <c r="A265" s="172">
        <v>31017</v>
      </c>
      <c r="B265" s="93">
        <v>597</v>
      </c>
      <c r="C265" s="93">
        <v>75</v>
      </c>
      <c r="D265" s="93">
        <v>81</v>
      </c>
      <c r="E265" s="93">
        <v>282</v>
      </c>
      <c r="F265" s="93">
        <v>159</v>
      </c>
    </row>
    <row r="266" spans="1:6" x14ac:dyDescent="0.2">
      <c r="A266" s="172">
        <v>31048</v>
      </c>
      <c r="B266" s="93">
        <v>645</v>
      </c>
      <c r="C266" s="93">
        <v>101</v>
      </c>
      <c r="D266" s="93">
        <v>82</v>
      </c>
      <c r="E266" s="93">
        <v>299</v>
      </c>
      <c r="F266" s="93">
        <v>163</v>
      </c>
    </row>
    <row r="267" spans="1:6" x14ac:dyDescent="0.2">
      <c r="A267" s="172">
        <v>31079</v>
      </c>
      <c r="B267" s="93">
        <v>682</v>
      </c>
      <c r="C267" s="93">
        <v>108</v>
      </c>
      <c r="D267" s="93">
        <v>88</v>
      </c>
      <c r="E267" s="93">
        <v>334</v>
      </c>
      <c r="F267" s="93">
        <v>153</v>
      </c>
    </row>
    <row r="268" spans="1:6" x14ac:dyDescent="0.2">
      <c r="A268" s="172">
        <v>31107</v>
      </c>
      <c r="B268" s="93">
        <v>671</v>
      </c>
      <c r="C268" s="93">
        <v>92</v>
      </c>
      <c r="D268" s="93">
        <v>85</v>
      </c>
      <c r="E268" s="93">
        <v>328</v>
      </c>
      <c r="F268" s="93">
        <v>165</v>
      </c>
    </row>
    <row r="269" spans="1:6" x14ac:dyDescent="0.2">
      <c r="A269" s="172">
        <v>31138</v>
      </c>
      <c r="B269" s="93">
        <v>620</v>
      </c>
      <c r="C269" s="93">
        <v>87</v>
      </c>
      <c r="D269" s="93">
        <v>70</v>
      </c>
      <c r="E269" s="93">
        <v>315</v>
      </c>
      <c r="F269" s="93">
        <v>148</v>
      </c>
    </row>
    <row r="270" spans="1:6" x14ac:dyDescent="0.2">
      <c r="A270" s="172">
        <v>31168</v>
      </c>
      <c r="B270" s="93">
        <v>678</v>
      </c>
      <c r="C270" s="93">
        <v>106</v>
      </c>
      <c r="D270" s="93">
        <v>83</v>
      </c>
      <c r="E270" s="93">
        <v>311</v>
      </c>
      <c r="F270" s="93">
        <v>178</v>
      </c>
    </row>
    <row r="271" spans="1:6" x14ac:dyDescent="0.2">
      <c r="A271" s="172">
        <v>31199</v>
      </c>
      <c r="B271" s="93">
        <v>722</v>
      </c>
      <c r="C271" s="93">
        <v>118</v>
      </c>
      <c r="D271" s="93">
        <v>83</v>
      </c>
      <c r="E271" s="93">
        <v>344</v>
      </c>
      <c r="F271" s="93">
        <v>177</v>
      </c>
    </row>
    <row r="272" spans="1:6" x14ac:dyDescent="0.2">
      <c r="A272" s="172">
        <v>31229</v>
      </c>
      <c r="B272" s="93">
        <v>766</v>
      </c>
      <c r="C272" s="93">
        <v>120</v>
      </c>
      <c r="D272" s="93">
        <v>88</v>
      </c>
      <c r="E272" s="93">
        <v>348</v>
      </c>
      <c r="F272" s="93">
        <v>211</v>
      </c>
    </row>
    <row r="273" spans="1:6" x14ac:dyDescent="0.2">
      <c r="A273" s="172">
        <v>31260</v>
      </c>
      <c r="B273" s="93">
        <v>726</v>
      </c>
      <c r="C273" s="93">
        <v>140</v>
      </c>
      <c r="D273" s="93">
        <v>85</v>
      </c>
      <c r="E273" s="93">
        <v>329</v>
      </c>
      <c r="F273" s="93">
        <v>172</v>
      </c>
    </row>
    <row r="274" spans="1:6" x14ac:dyDescent="0.2">
      <c r="A274" s="172">
        <v>31291</v>
      </c>
      <c r="B274" s="93">
        <v>678</v>
      </c>
      <c r="C274" s="93">
        <v>92</v>
      </c>
      <c r="D274" s="93">
        <v>80</v>
      </c>
      <c r="E274" s="93">
        <v>322</v>
      </c>
      <c r="F274" s="93">
        <v>183</v>
      </c>
    </row>
    <row r="275" spans="1:6" x14ac:dyDescent="0.2">
      <c r="A275" s="172">
        <v>31321</v>
      </c>
      <c r="B275" s="93">
        <v>655</v>
      </c>
      <c r="C275" s="93">
        <v>89</v>
      </c>
      <c r="D275" s="93">
        <v>78</v>
      </c>
      <c r="E275" s="93">
        <v>311</v>
      </c>
      <c r="F275" s="93">
        <v>177</v>
      </c>
    </row>
    <row r="276" spans="1:6" x14ac:dyDescent="0.2">
      <c r="A276" s="172">
        <v>31352</v>
      </c>
      <c r="B276" s="93">
        <v>733</v>
      </c>
      <c r="C276" s="93">
        <v>133</v>
      </c>
      <c r="D276" s="93">
        <v>85</v>
      </c>
      <c r="E276" s="93">
        <v>329</v>
      </c>
      <c r="F276" s="93">
        <v>187</v>
      </c>
    </row>
    <row r="277" spans="1:6" x14ac:dyDescent="0.2">
      <c r="A277" s="172">
        <v>31382</v>
      </c>
      <c r="B277" s="93">
        <v>721</v>
      </c>
      <c r="C277" s="93">
        <v>135</v>
      </c>
      <c r="D277" s="93">
        <v>80</v>
      </c>
      <c r="E277" s="93">
        <v>334</v>
      </c>
      <c r="F277" s="93">
        <v>173</v>
      </c>
    </row>
    <row r="278" spans="1:6" x14ac:dyDescent="0.2">
      <c r="A278" s="172">
        <v>31413</v>
      </c>
      <c r="B278" s="93">
        <v>733</v>
      </c>
      <c r="C278" s="93">
        <v>127</v>
      </c>
      <c r="D278" s="93">
        <v>85</v>
      </c>
      <c r="E278" s="93">
        <v>353</v>
      </c>
      <c r="F278" s="93">
        <v>168</v>
      </c>
    </row>
    <row r="279" spans="1:6" x14ac:dyDescent="0.2">
      <c r="A279" s="172">
        <v>31444</v>
      </c>
      <c r="B279" s="93">
        <v>728</v>
      </c>
      <c r="C279" s="93">
        <v>135</v>
      </c>
      <c r="D279" s="93">
        <v>83</v>
      </c>
      <c r="E279" s="93">
        <v>303</v>
      </c>
      <c r="F279" s="93">
        <v>206</v>
      </c>
    </row>
    <row r="280" spans="1:6" x14ac:dyDescent="0.2">
      <c r="A280" s="172">
        <v>31472</v>
      </c>
      <c r="B280" s="93">
        <v>880</v>
      </c>
      <c r="C280" s="93">
        <v>153</v>
      </c>
      <c r="D280" s="93">
        <v>100</v>
      </c>
      <c r="E280" s="93">
        <v>390</v>
      </c>
      <c r="F280" s="93">
        <v>237</v>
      </c>
    </row>
    <row r="281" spans="1:6" x14ac:dyDescent="0.2">
      <c r="A281" s="172">
        <v>31503</v>
      </c>
      <c r="B281" s="93">
        <v>857</v>
      </c>
      <c r="C281" s="93">
        <v>170</v>
      </c>
      <c r="D281" s="93">
        <v>98</v>
      </c>
      <c r="E281" s="93">
        <v>346</v>
      </c>
      <c r="F281" s="93">
        <v>242</v>
      </c>
    </row>
    <row r="282" spans="1:6" x14ac:dyDescent="0.2">
      <c r="A282" s="172">
        <v>31533</v>
      </c>
      <c r="B282" s="93">
        <v>789</v>
      </c>
      <c r="C282" s="93">
        <v>144</v>
      </c>
      <c r="D282" s="93">
        <v>111</v>
      </c>
      <c r="E282" s="93">
        <v>339</v>
      </c>
      <c r="F282" s="93">
        <v>196</v>
      </c>
    </row>
    <row r="283" spans="1:6" x14ac:dyDescent="0.2">
      <c r="A283" s="172">
        <v>31564</v>
      </c>
      <c r="B283" s="93">
        <v>728</v>
      </c>
      <c r="C283" s="93">
        <v>111</v>
      </c>
      <c r="D283" s="93">
        <v>88</v>
      </c>
      <c r="E283" s="93">
        <v>324</v>
      </c>
      <c r="F283" s="93">
        <v>206</v>
      </c>
    </row>
    <row r="284" spans="1:6" x14ac:dyDescent="0.2">
      <c r="A284" s="172">
        <v>31594</v>
      </c>
      <c r="B284" s="93">
        <v>698</v>
      </c>
      <c r="C284" s="93">
        <v>112</v>
      </c>
      <c r="D284" s="93">
        <v>99</v>
      </c>
      <c r="E284" s="93">
        <v>306</v>
      </c>
      <c r="F284" s="93">
        <v>180</v>
      </c>
    </row>
    <row r="285" spans="1:6" x14ac:dyDescent="0.2">
      <c r="A285" s="172">
        <v>31625</v>
      </c>
      <c r="B285" s="93">
        <v>621</v>
      </c>
      <c r="C285" s="93">
        <v>107</v>
      </c>
      <c r="D285" s="93">
        <v>74</v>
      </c>
      <c r="E285" s="93">
        <v>286</v>
      </c>
      <c r="F285" s="93">
        <v>154</v>
      </c>
    </row>
    <row r="286" spans="1:6" x14ac:dyDescent="0.2">
      <c r="A286" s="172">
        <v>31656</v>
      </c>
      <c r="B286" s="93">
        <v>763</v>
      </c>
      <c r="C286" s="93">
        <v>149</v>
      </c>
      <c r="D286" s="93">
        <v>98</v>
      </c>
      <c r="E286" s="93">
        <v>304</v>
      </c>
      <c r="F286" s="93">
        <v>212</v>
      </c>
    </row>
    <row r="287" spans="1:6" x14ac:dyDescent="0.2">
      <c r="A287" s="172">
        <v>31686</v>
      </c>
      <c r="B287" s="93">
        <v>669</v>
      </c>
      <c r="C287" s="93">
        <v>124</v>
      </c>
      <c r="D287" s="93">
        <v>97</v>
      </c>
      <c r="E287" s="93">
        <v>268</v>
      </c>
      <c r="F287" s="93">
        <v>180</v>
      </c>
    </row>
    <row r="288" spans="1:6" x14ac:dyDescent="0.2">
      <c r="A288" s="172">
        <v>31717</v>
      </c>
      <c r="B288" s="93">
        <v>707</v>
      </c>
      <c r="C288" s="93">
        <v>138</v>
      </c>
      <c r="D288" s="93">
        <v>79</v>
      </c>
      <c r="E288" s="93">
        <v>312</v>
      </c>
      <c r="F288" s="93">
        <v>178</v>
      </c>
    </row>
    <row r="289" spans="1:6" x14ac:dyDescent="0.2">
      <c r="A289" s="172">
        <v>31747</v>
      </c>
      <c r="B289" s="93">
        <v>784</v>
      </c>
      <c r="C289" s="93">
        <v>134</v>
      </c>
      <c r="D289" s="93">
        <v>128</v>
      </c>
      <c r="E289" s="93">
        <v>312</v>
      </c>
      <c r="F289" s="93">
        <v>210</v>
      </c>
    </row>
    <row r="290" spans="1:6" x14ac:dyDescent="0.2">
      <c r="A290" s="172">
        <v>31778</v>
      </c>
      <c r="B290" s="93">
        <v>709</v>
      </c>
      <c r="C290" s="93">
        <v>136</v>
      </c>
      <c r="D290" s="93">
        <v>94</v>
      </c>
      <c r="E290" s="93">
        <v>299</v>
      </c>
      <c r="F290" s="93">
        <v>179</v>
      </c>
    </row>
    <row r="291" spans="1:6" x14ac:dyDescent="0.2">
      <c r="A291" s="172">
        <v>31809</v>
      </c>
      <c r="B291" s="93">
        <v>732</v>
      </c>
      <c r="C291" s="93">
        <v>127</v>
      </c>
      <c r="D291" s="93">
        <v>120</v>
      </c>
      <c r="E291" s="93">
        <v>290</v>
      </c>
      <c r="F291" s="93">
        <v>195</v>
      </c>
    </row>
    <row r="292" spans="1:6" x14ac:dyDescent="0.2">
      <c r="A292" s="172">
        <v>31837</v>
      </c>
      <c r="B292" s="93">
        <v>713</v>
      </c>
      <c r="C292" s="93">
        <v>114</v>
      </c>
      <c r="D292" s="93">
        <v>105</v>
      </c>
      <c r="E292" s="93">
        <v>291</v>
      </c>
      <c r="F292" s="93">
        <v>203</v>
      </c>
    </row>
    <row r="293" spans="1:6" x14ac:dyDescent="0.2">
      <c r="A293" s="172">
        <v>31868</v>
      </c>
      <c r="B293" s="93">
        <v>735</v>
      </c>
      <c r="C293" s="93">
        <v>116</v>
      </c>
      <c r="D293" s="93">
        <v>112</v>
      </c>
      <c r="E293" s="93">
        <v>301</v>
      </c>
      <c r="F293" s="93">
        <v>205</v>
      </c>
    </row>
    <row r="294" spans="1:6" x14ac:dyDescent="0.2">
      <c r="A294" s="172">
        <v>31898</v>
      </c>
      <c r="B294" s="93">
        <v>651</v>
      </c>
      <c r="C294" s="93">
        <v>111</v>
      </c>
      <c r="D294" s="93">
        <v>88</v>
      </c>
      <c r="E294" s="93">
        <v>267</v>
      </c>
      <c r="F294" s="93">
        <v>185</v>
      </c>
    </row>
    <row r="295" spans="1:6" x14ac:dyDescent="0.2">
      <c r="A295" s="172">
        <v>31929</v>
      </c>
      <c r="B295" s="93">
        <v>637</v>
      </c>
      <c r="C295" s="93">
        <v>98</v>
      </c>
      <c r="D295" s="93">
        <v>99</v>
      </c>
      <c r="E295" s="93">
        <v>267</v>
      </c>
      <c r="F295" s="93">
        <v>173</v>
      </c>
    </row>
    <row r="296" spans="1:6" x14ac:dyDescent="0.2">
      <c r="A296" s="172">
        <v>31959</v>
      </c>
      <c r="B296" s="93">
        <v>658</v>
      </c>
      <c r="C296" s="93">
        <v>115</v>
      </c>
      <c r="D296" s="93">
        <v>94</v>
      </c>
      <c r="E296" s="93">
        <v>264</v>
      </c>
      <c r="F296" s="93">
        <v>185</v>
      </c>
    </row>
    <row r="297" spans="1:6" x14ac:dyDescent="0.2">
      <c r="A297" s="172">
        <v>31990</v>
      </c>
      <c r="B297" s="93">
        <v>657</v>
      </c>
      <c r="C297" s="93">
        <v>111</v>
      </c>
      <c r="D297" s="93">
        <v>89</v>
      </c>
      <c r="E297" s="93">
        <v>263</v>
      </c>
      <c r="F297" s="93">
        <v>194</v>
      </c>
    </row>
    <row r="298" spans="1:6" x14ac:dyDescent="0.2">
      <c r="A298" s="172">
        <v>32021</v>
      </c>
      <c r="B298" s="93">
        <v>666</v>
      </c>
      <c r="C298" s="93">
        <v>128</v>
      </c>
      <c r="D298" s="93">
        <v>79</v>
      </c>
      <c r="E298" s="93">
        <v>286</v>
      </c>
      <c r="F298" s="93">
        <v>174</v>
      </c>
    </row>
    <row r="299" spans="1:6" x14ac:dyDescent="0.2">
      <c r="A299" s="172">
        <v>32051</v>
      </c>
      <c r="B299" s="93">
        <v>650</v>
      </c>
      <c r="C299" s="93">
        <v>118</v>
      </c>
      <c r="D299" s="93">
        <v>95</v>
      </c>
      <c r="E299" s="93">
        <v>248</v>
      </c>
      <c r="F299" s="93">
        <v>190</v>
      </c>
    </row>
    <row r="300" spans="1:6" x14ac:dyDescent="0.2">
      <c r="A300" s="172">
        <v>32082</v>
      </c>
      <c r="B300" s="93">
        <v>625</v>
      </c>
      <c r="C300" s="93">
        <v>152</v>
      </c>
      <c r="D300" s="93">
        <v>89</v>
      </c>
      <c r="E300" s="93">
        <v>210</v>
      </c>
      <c r="F300" s="93">
        <v>175</v>
      </c>
    </row>
    <row r="301" spans="1:6" x14ac:dyDescent="0.2">
      <c r="A301" s="172">
        <v>32112</v>
      </c>
      <c r="B301" s="93">
        <v>595</v>
      </c>
      <c r="C301" s="93">
        <v>75</v>
      </c>
      <c r="D301" s="93">
        <v>105</v>
      </c>
      <c r="E301" s="93">
        <v>243</v>
      </c>
      <c r="F301" s="93">
        <v>172</v>
      </c>
    </row>
    <row r="302" spans="1:6" x14ac:dyDescent="0.2">
      <c r="A302" s="172">
        <v>32143</v>
      </c>
      <c r="B302" s="93">
        <v>585</v>
      </c>
      <c r="C302" s="93">
        <v>99</v>
      </c>
      <c r="D302" s="93">
        <v>92</v>
      </c>
      <c r="E302" s="93">
        <v>216</v>
      </c>
      <c r="F302" s="93">
        <v>178</v>
      </c>
    </row>
    <row r="303" spans="1:6" x14ac:dyDescent="0.2">
      <c r="A303" s="172">
        <v>32174</v>
      </c>
      <c r="B303" s="93">
        <v>663</v>
      </c>
      <c r="C303" s="93">
        <v>118</v>
      </c>
      <c r="D303" s="93">
        <v>110</v>
      </c>
      <c r="E303" s="93">
        <v>271</v>
      </c>
      <c r="F303" s="93">
        <v>164</v>
      </c>
    </row>
    <row r="304" spans="1:6" x14ac:dyDescent="0.2">
      <c r="A304" s="172">
        <v>32203</v>
      </c>
      <c r="B304" s="93">
        <v>669</v>
      </c>
      <c r="C304" s="93">
        <v>106</v>
      </c>
      <c r="D304" s="93">
        <v>90</v>
      </c>
      <c r="E304" s="93">
        <v>284</v>
      </c>
      <c r="F304" s="93">
        <v>189</v>
      </c>
    </row>
    <row r="305" spans="1:6" x14ac:dyDescent="0.2">
      <c r="A305" s="172">
        <v>32234</v>
      </c>
      <c r="B305" s="93">
        <v>699</v>
      </c>
      <c r="C305" s="93">
        <v>109</v>
      </c>
      <c r="D305" s="93">
        <v>94</v>
      </c>
      <c r="E305" s="93">
        <v>294</v>
      </c>
      <c r="F305" s="93">
        <v>202</v>
      </c>
    </row>
    <row r="306" spans="1:6" x14ac:dyDescent="0.2">
      <c r="A306" s="172">
        <v>32264</v>
      </c>
      <c r="B306" s="93">
        <v>684</v>
      </c>
      <c r="C306" s="93">
        <v>103</v>
      </c>
      <c r="D306" s="93">
        <v>96</v>
      </c>
      <c r="E306" s="93">
        <v>289</v>
      </c>
      <c r="F306" s="93">
        <v>197</v>
      </c>
    </row>
    <row r="307" spans="1:6" x14ac:dyDescent="0.2">
      <c r="A307" s="172">
        <v>32295</v>
      </c>
      <c r="B307" s="93">
        <v>717</v>
      </c>
      <c r="C307" s="93">
        <v>119</v>
      </c>
      <c r="D307" s="93">
        <v>93</v>
      </c>
      <c r="E307" s="93">
        <v>284</v>
      </c>
      <c r="F307" s="93">
        <v>222</v>
      </c>
    </row>
    <row r="308" spans="1:6" x14ac:dyDescent="0.2">
      <c r="A308" s="172">
        <v>32325</v>
      </c>
      <c r="B308" s="93">
        <v>679</v>
      </c>
      <c r="C308" s="93">
        <v>102</v>
      </c>
      <c r="D308" s="93">
        <v>91</v>
      </c>
      <c r="E308" s="93">
        <v>273</v>
      </c>
      <c r="F308" s="93">
        <v>213</v>
      </c>
    </row>
    <row r="309" spans="1:6" x14ac:dyDescent="0.2">
      <c r="A309" s="172">
        <v>32356</v>
      </c>
      <c r="B309" s="93">
        <v>688</v>
      </c>
      <c r="C309" s="93">
        <v>102</v>
      </c>
      <c r="D309" s="93">
        <v>99</v>
      </c>
      <c r="E309" s="93">
        <v>284</v>
      </c>
      <c r="F309" s="93">
        <v>203</v>
      </c>
    </row>
    <row r="310" spans="1:6" x14ac:dyDescent="0.2">
      <c r="A310" s="172">
        <v>32387</v>
      </c>
      <c r="B310" s="93">
        <v>703</v>
      </c>
      <c r="C310" s="93">
        <v>97</v>
      </c>
      <c r="D310" s="93">
        <v>99</v>
      </c>
      <c r="E310" s="93">
        <v>270</v>
      </c>
      <c r="F310" s="93">
        <v>237</v>
      </c>
    </row>
    <row r="311" spans="1:6" x14ac:dyDescent="0.2">
      <c r="A311" s="172">
        <v>32417</v>
      </c>
      <c r="B311" s="93">
        <v>718</v>
      </c>
      <c r="C311" s="93">
        <v>95</v>
      </c>
      <c r="D311" s="93">
        <v>110</v>
      </c>
      <c r="E311" s="93">
        <v>272</v>
      </c>
      <c r="F311" s="93">
        <v>240</v>
      </c>
    </row>
    <row r="312" spans="1:6" x14ac:dyDescent="0.2">
      <c r="A312" s="172">
        <v>32448</v>
      </c>
      <c r="B312" s="93">
        <v>628</v>
      </c>
      <c r="C312" s="93">
        <v>58</v>
      </c>
      <c r="D312" s="93">
        <v>99</v>
      </c>
      <c r="E312" s="93">
        <v>251</v>
      </c>
      <c r="F312" s="93">
        <v>220</v>
      </c>
    </row>
    <row r="313" spans="1:6" x14ac:dyDescent="0.2">
      <c r="A313" s="172">
        <v>32478</v>
      </c>
      <c r="B313" s="93">
        <v>658</v>
      </c>
      <c r="C313" s="93">
        <v>102</v>
      </c>
      <c r="D313" s="93">
        <v>94</v>
      </c>
      <c r="E313" s="93">
        <v>263</v>
      </c>
      <c r="F313" s="93">
        <v>199</v>
      </c>
    </row>
    <row r="314" spans="1:6" x14ac:dyDescent="0.2">
      <c r="A314" s="172">
        <v>32509</v>
      </c>
      <c r="B314" s="93">
        <v>719</v>
      </c>
      <c r="C314" s="93">
        <v>125</v>
      </c>
      <c r="D314" s="93">
        <v>101</v>
      </c>
      <c r="E314" s="93">
        <v>280</v>
      </c>
      <c r="F314" s="93">
        <v>213</v>
      </c>
    </row>
    <row r="315" spans="1:6" x14ac:dyDescent="0.2">
      <c r="A315" s="172">
        <v>32540</v>
      </c>
      <c r="B315" s="93">
        <v>622</v>
      </c>
      <c r="C315" s="93">
        <v>87</v>
      </c>
      <c r="D315" s="93">
        <v>102</v>
      </c>
      <c r="E315" s="93">
        <v>237</v>
      </c>
      <c r="F315" s="93">
        <v>195</v>
      </c>
    </row>
    <row r="316" spans="1:6" x14ac:dyDescent="0.2">
      <c r="A316" s="172">
        <v>32568</v>
      </c>
      <c r="B316" s="93">
        <v>567</v>
      </c>
      <c r="C316" s="93">
        <v>108</v>
      </c>
      <c r="D316" s="93">
        <v>98</v>
      </c>
      <c r="E316" s="93">
        <v>206</v>
      </c>
      <c r="F316" s="93">
        <v>154</v>
      </c>
    </row>
    <row r="317" spans="1:6" x14ac:dyDescent="0.2">
      <c r="A317" s="172">
        <v>32599</v>
      </c>
      <c r="B317" s="93">
        <v>608</v>
      </c>
      <c r="C317" s="93">
        <v>82</v>
      </c>
      <c r="D317" s="93">
        <v>100</v>
      </c>
      <c r="E317" s="93">
        <v>243</v>
      </c>
      <c r="F317" s="93">
        <v>184</v>
      </c>
    </row>
    <row r="318" spans="1:6" x14ac:dyDescent="0.2">
      <c r="A318" s="172">
        <v>32629</v>
      </c>
      <c r="B318" s="93">
        <v>656</v>
      </c>
      <c r="C318" s="93">
        <v>88</v>
      </c>
      <c r="D318" s="93">
        <v>98</v>
      </c>
      <c r="E318" s="93">
        <v>276</v>
      </c>
      <c r="F318" s="93">
        <v>194</v>
      </c>
    </row>
    <row r="319" spans="1:6" x14ac:dyDescent="0.2">
      <c r="A319" s="172">
        <v>32660</v>
      </c>
      <c r="B319" s="93">
        <v>642</v>
      </c>
      <c r="C319" s="93">
        <v>72</v>
      </c>
      <c r="D319" s="93">
        <v>98</v>
      </c>
      <c r="E319" s="93">
        <v>257</v>
      </c>
      <c r="F319" s="93">
        <v>214</v>
      </c>
    </row>
    <row r="320" spans="1:6" x14ac:dyDescent="0.2">
      <c r="A320" s="172">
        <v>32690</v>
      </c>
      <c r="B320" s="93">
        <v>731</v>
      </c>
      <c r="C320" s="93">
        <v>96</v>
      </c>
      <c r="D320" s="93">
        <v>130</v>
      </c>
      <c r="E320" s="93">
        <v>276</v>
      </c>
      <c r="F320" s="93">
        <v>229</v>
      </c>
    </row>
    <row r="321" spans="1:6" x14ac:dyDescent="0.2">
      <c r="A321" s="172">
        <v>32721</v>
      </c>
      <c r="B321" s="93">
        <v>697</v>
      </c>
      <c r="C321" s="93">
        <v>94</v>
      </c>
      <c r="D321" s="93">
        <v>101</v>
      </c>
      <c r="E321" s="93">
        <v>278</v>
      </c>
      <c r="F321" s="93">
        <v>223</v>
      </c>
    </row>
    <row r="322" spans="1:6" x14ac:dyDescent="0.2">
      <c r="A322" s="172">
        <v>32752</v>
      </c>
      <c r="B322" s="93">
        <v>639</v>
      </c>
      <c r="C322" s="93">
        <v>63</v>
      </c>
      <c r="D322" s="93">
        <v>104</v>
      </c>
      <c r="E322" s="93">
        <v>262</v>
      </c>
      <c r="F322" s="93">
        <v>210</v>
      </c>
    </row>
    <row r="323" spans="1:6" x14ac:dyDescent="0.2">
      <c r="A323" s="172">
        <v>32782</v>
      </c>
      <c r="B323" s="93">
        <v>645</v>
      </c>
      <c r="C323" s="93">
        <v>85</v>
      </c>
      <c r="D323" s="93">
        <v>102</v>
      </c>
      <c r="E323" s="93">
        <v>267</v>
      </c>
      <c r="F323" s="93">
        <v>191</v>
      </c>
    </row>
    <row r="324" spans="1:6" x14ac:dyDescent="0.2">
      <c r="A324" s="172">
        <v>32813</v>
      </c>
      <c r="B324" s="93">
        <v>684</v>
      </c>
      <c r="C324" s="93">
        <v>95</v>
      </c>
      <c r="D324" s="93">
        <v>115</v>
      </c>
      <c r="E324" s="93">
        <v>263</v>
      </c>
      <c r="F324" s="93">
        <v>212</v>
      </c>
    </row>
    <row r="325" spans="1:6" x14ac:dyDescent="0.2">
      <c r="A325" s="172">
        <v>32843</v>
      </c>
      <c r="B325" s="93">
        <v>630</v>
      </c>
      <c r="C325" s="93">
        <v>88</v>
      </c>
      <c r="D325" s="93">
        <v>92</v>
      </c>
      <c r="E325" s="93">
        <v>248</v>
      </c>
      <c r="F325" s="93">
        <v>203</v>
      </c>
    </row>
    <row r="326" spans="1:6" x14ac:dyDescent="0.2">
      <c r="A326" s="172">
        <v>32874</v>
      </c>
      <c r="B326" s="93">
        <v>620</v>
      </c>
      <c r="C326" s="93">
        <v>97</v>
      </c>
      <c r="D326" s="93">
        <v>105</v>
      </c>
      <c r="E326" s="93">
        <v>223</v>
      </c>
      <c r="F326" s="93">
        <v>194</v>
      </c>
    </row>
    <row r="327" spans="1:6" x14ac:dyDescent="0.2">
      <c r="A327" s="172">
        <v>32905</v>
      </c>
      <c r="B327" s="93">
        <v>591</v>
      </c>
      <c r="C327" s="93">
        <v>69</v>
      </c>
      <c r="D327" s="93">
        <v>73</v>
      </c>
      <c r="E327" s="93">
        <v>266</v>
      </c>
      <c r="F327" s="93">
        <v>183</v>
      </c>
    </row>
    <row r="328" spans="1:6" x14ac:dyDescent="0.2">
      <c r="A328" s="172">
        <v>32933</v>
      </c>
      <c r="B328" s="93">
        <v>574</v>
      </c>
      <c r="C328" s="93">
        <v>91</v>
      </c>
      <c r="D328" s="93">
        <v>92</v>
      </c>
      <c r="E328" s="93">
        <v>228</v>
      </c>
      <c r="F328" s="93">
        <v>163</v>
      </c>
    </row>
    <row r="329" spans="1:6" x14ac:dyDescent="0.2">
      <c r="A329" s="172">
        <v>32964</v>
      </c>
      <c r="B329" s="93">
        <v>542</v>
      </c>
      <c r="C329" s="93">
        <v>88</v>
      </c>
      <c r="D329" s="93">
        <v>91</v>
      </c>
      <c r="E329" s="93">
        <v>215</v>
      </c>
      <c r="F329" s="93">
        <v>148</v>
      </c>
    </row>
    <row r="330" spans="1:6" x14ac:dyDescent="0.2">
      <c r="A330" s="172">
        <v>32994</v>
      </c>
      <c r="B330" s="93">
        <v>534</v>
      </c>
      <c r="C330" s="93">
        <v>74</v>
      </c>
      <c r="D330" s="93">
        <v>89</v>
      </c>
      <c r="E330" s="93">
        <v>213</v>
      </c>
      <c r="F330" s="93">
        <v>158</v>
      </c>
    </row>
    <row r="331" spans="1:6" x14ac:dyDescent="0.2">
      <c r="A331" s="172">
        <v>33025</v>
      </c>
      <c r="B331" s="93">
        <v>545</v>
      </c>
      <c r="C331" s="93">
        <v>75</v>
      </c>
      <c r="D331" s="93">
        <v>99</v>
      </c>
      <c r="E331" s="93">
        <v>228</v>
      </c>
      <c r="F331" s="93">
        <v>143</v>
      </c>
    </row>
    <row r="332" spans="1:6" x14ac:dyDescent="0.2">
      <c r="A332" s="172">
        <v>33055</v>
      </c>
      <c r="B332" s="93">
        <v>542</v>
      </c>
      <c r="C332" s="93">
        <v>71</v>
      </c>
      <c r="D332" s="93">
        <v>97</v>
      </c>
      <c r="E332" s="93">
        <v>236</v>
      </c>
      <c r="F332" s="93">
        <v>137</v>
      </c>
    </row>
    <row r="333" spans="1:6" x14ac:dyDescent="0.2">
      <c r="A333" s="172">
        <v>33086</v>
      </c>
      <c r="B333" s="93">
        <v>528</v>
      </c>
      <c r="C333" s="93">
        <v>62</v>
      </c>
      <c r="D333" s="93">
        <v>90</v>
      </c>
      <c r="E333" s="93">
        <v>240</v>
      </c>
      <c r="F333" s="93">
        <v>137</v>
      </c>
    </row>
    <row r="334" spans="1:6" x14ac:dyDescent="0.2">
      <c r="A334" s="172">
        <v>33117</v>
      </c>
      <c r="B334" s="93">
        <v>496</v>
      </c>
      <c r="C334" s="93">
        <v>57</v>
      </c>
      <c r="D334" s="93">
        <v>93</v>
      </c>
      <c r="E334" s="93">
        <v>211</v>
      </c>
      <c r="F334" s="93">
        <v>135</v>
      </c>
    </row>
    <row r="335" spans="1:6" x14ac:dyDescent="0.2">
      <c r="A335" s="172">
        <v>33147</v>
      </c>
      <c r="B335" s="93">
        <v>465</v>
      </c>
      <c r="C335" s="93">
        <v>72</v>
      </c>
      <c r="D335" s="93">
        <v>73</v>
      </c>
      <c r="E335" s="93">
        <v>206</v>
      </c>
      <c r="F335" s="93">
        <v>114</v>
      </c>
    </row>
    <row r="336" spans="1:6" x14ac:dyDescent="0.2">
      <c r="A336" s="172">
        <v>33178</v>
      </c>
      <c r="B336" s="93">
        <v>493</v>
      </c>
      <c r="C336" s="93">
        <v>72</v>
      </c>
      <c r="D336" s="93">
        <v>87</v>
      </c>
      <c r="E336" s="93">
        <v>207</v>
      </c>
      <c r="F336" s="93">
        <v>126</v>
      </c>
    </row>
    <row r="337" spans="1:6" x14ac:dyDescent="0.2">
      <c r="A337" s="172">
        <v>33208</v>
      </c>
      <c r="B337" s="93">
        <v>464</v>
      </c>
      <c r="C337" s="93">
        <v>56</v>
      </c>
      <c r="D337" s="93">
        <v>86</v>
      </c>
      <c r="E337" s="93">
        <v>200</v>
      </c>
      <c r="F337" s="93">
        <v>121</v>
      </c>
    </row>
    <row r="338" spans="1:6" x14ac:dyDescent="0.2">
      <c r="A338" s="172">
        <v>33239</v>
      </c>
      <c r="B338" s="93">
        <v>401</v>
      </c>
      <c r="C338" s="93">
        <v>52</v>
      </c>
      <c r="D338" s="93">
        <v>61</v>
      </c>
      <c r="E338" s="93">
        <v>170</v>
      </c>
      <c r="F338" s="93">
        <v>119</v>
      </c>
    </row>
    <row r="339" spans="1:6" x14ac:dyDescent="0.2">
      <c r="A339" s="172">
        <v>33270</v>
      </c>
      <c r="B339" s="93">
        <v>482</v>
      </c>
      <c r="C339" s="93">
        <v>51</v>
      </c>
      <c r="D339" s="93">
        <v>96</v>
      </c>
      <c r="E339" s="93">
        <v>201</v>
      </c>
      <c r="F339" s="93">
        <v>134</v>
      </c>
    </row>
    <row r="340" spans="1:6" x14ac:dyDescent="0.2">
      <c r="A340" s="172">
        <v>33298</v>
      </c>
      <c r="B340" s="93">
        <v>507</v>
      </c>
      <c r="C340" s="93">
        <v>50</v>
      </c>
      <c r="D340" s="93">
        <v>99</v>
      </c>
      <c r="E340" s="93">
        <v>212</v>
      </c>
      <c r="F340" s="93">
        <v>146</v>
      </c>
    </row>
    <row r="341" spans="1:6" x14ac:dyDescent="0.2">
      <c r="A341" s="172">
        <v>33329</v>
      </c>
      <c r="B341" s="93">
        <v>508</v>
      </c>
      <c r="C341" s="93">
        <v>60</v>
      </c>
      <c r="D341" s="93">
        <v>89</v>
      </c>
      <c r="E341" s="93">
        <v>223</v>
      </c>
      <c r="F341" s="93">
        <v>136</v>
      </c>
    </row>
    <row r="342" spans="1:6" x14ac:dyDescent="0.2">
      <c r="A342" s="172">
        <v>33359</v>
      </c>
      <c r="B342" s="93">
        <v>517</v>
      </c>
      <c r="C342" s="93">
        <v>58</v>
      </c>
      <c r="D342" s="93">
        <v>103</v>
      </c>
      <c r="E342" s="93">
        <v>211</v>
      </c>
      <c r="F342" s="93">
        <v>145</v>
      </c>
    </row>
    <row r="343" spans="1:6" x14ac:dyDescent="0.2">
      <c r="A343" s="172">
        <v>33390</v>
      </c>
      <c r="B343" s="93">
        <v>516</v>
      </c>
      <c r="C343" s="93">
        <v>58</v>
      </c>
      <c r="D343" s="93">
        <v>95</v>
      </c>
      <c r="E343" s="93">
        <v>208</v>
      </c>
      <c r="F343" s="93">
        <v>155</v>
      </c>
    </row>
    <row r="344" spans="1:6" x14ac:dyDescent="0.2">
      <c r="A344" s="172">
        <v>33420</v>
      </c>
      <c r="B344" s="93">
        <v>511</v>
      </c>
      <c r="C344" s="93">
        <v>65</v>
      </c>
      <c r="D344" s="93">
        <v>86</v>
      </c>
      <c r="E344" s="93">
        <v>212</v>
      </c>
      <c r="F344" s="93">
        <v>148</v>
      </c>
    </row>
    <row r="345" spans="1:6" x14ac:dyDescent="0.2">
      <c r="A345" s="172">
        <v>33451</v>
      </c>
      <c r="B345" s="93">
        <v>526</v>
      </c>
      <c r="C345" s="93">
        <v>62</v>
      </c>
      <c r="D345" s="93">
        <v>94</v>
      </c>
      <c r="E345" s="93">
        <v>222</v>
      </c>
      <c r="F345" s="93">
        <v>148</v>
      </c>
    </row>
    <row r="346" spans="1:6" x14ac:dyDescent="0.2">
      <c r="A346" s="172">
        <v>33482</v>
      </c>
      <c r="B346" s="93">
        <v>487</v>
      </c>
      <c r="C346" s="93">
        <v>57</v>
      </c>
      <c r="D346" s="93">
        <v>94</v>
      </c>
      <c r="E346" s="93">
        <v>202</v>
      </c>
      <c r="F346" s="93">
        <v>135</v>
      </c>
    </row>
    <row r="347" spans="1:6" x14ac:dyDescent="0.2">
      <c r="A347" s="172">
        <v>33512</v>
      </c>
      <c r="B347" s="93">
        <v>524</v>
      </c>
      <c r="C347" s="93">
        <v>67</v>
      </c>
      <c r="D347" s="93">
        <v>103</v>
      </c>
      <c r="E347" s="93">
        <v>219</v>
      </c>
      <c r="F347" s="93">
        <v>135</v>
      </c>
    </row>
    <row r="348" spans="1:6" x14ac:dyDescent="0.2">
      <c r="A348" s="172">
        <v>33543</v>
      </c>
      <c r="B348" s="93">
        <v>575</v>
      </c>
      <c r="C348" s="93">
        <v>55</v>
      </c>
      <c r="D348" s="93">
        <v>104</v>
      </c>
      <c r="E348" s="93">
        <v>260</v>
      </c>
      <c r="F348" s="93">
        <v>157</v>
      </c>
    </row>
    <row r="349" spans="1:6" x14ac:dyDescent="0.2">
      <c r="A349" s="172">
        <v>33573</v>
      </c>
      <c r="B349" s="93">
        <v>558</v>
      </c>
      <c r="C349" s="93">
        <v>64</v>
      </c>
      <c r="D349" s="93">
        <v>100</v>
      </c>
      <c r="E349" s="93">
        <v>228</v>
      </c>
      <c r="F349" s="93">
        <v>166</v>
      </c>
    </row>
    <row r="350" spans="1:6" x14ac:dyDescent="0.2">
      <c r="A350" s="172">
        <v>33604</v>
      </c>
      <c r="B350" s="93">
        <v>676</v>
      </c>
      <c r="C350" s="93">
        <v>64</v>
      </c>
      <c r="D350" s="93">
        <v>154</v>
      </c>
      <c r="E350" s="93">
        <v>253</v>
      </c>
      <c r="F350" s="93">
        <v>204</v>
      </c>
    </row>
    <row r="351" spans="1:6" x14ac:dyDescent="0.2">
      <c r="A351" s="172">
        <v>33635</v>
      </c>
      <c r="B351" s="93">
        <v>639</v>
      </c>
      <c r="C351" s="93">
        <v>67</v>
      </c>
      <c r="D351" s="93">
        <v>132</v>
      </c>
      <c r="E351" s="93">
        <v>258</v>
      </c>
      <c r="F351" s="93">
        <v>182</v>
      </c>
    </row>
    <row r="352" spans="1:6" x14ac:dyDescent="0.2">
      <c r="A352" s="172">
        <v>33664</v>
      </c>
      <c r="B352" s="190">
        <v>553</v>
      </c>
      <c r="C352" s="93">
        <v>51</v>
      </c>
      <c r="D352" s="93">
        <v>112</v>
      </c>
      <c r="E352" s="93">
        <v>242</v>
      </c>
      <c r="F352" s="93">
        <v>147</v>
      </c>
    </row>
    <row r="353" spans="1:6" x14ac:dyDescent="0.2">
      <c r="A353" s="172">
        <v>33695</v>
      </c>
      <c r="B353" s="93">
        <v>546</v>
      </c>
      <c r="C353" s="93">
        <v>52</v>
      </c>
      <c r="D353" s="93">
        <v>105</v>
      </c>
      <c r="E353" s="93">
        <v>220</v>
      </c>
      <c r="F353" s="93">
        <v>169</v>
      </c>
    </row>
    <row r="354" spans="1:6" x14ac:dyDescent="0.2">
      <c r="A354" s="172">
        <v>33725</v>
      </c>
      <c r="B354" s="93">
        <v>554</v>
      </c>
      <c r="C354" s="93">
        <v>63</v>
      </c>
      <c r="D354" s="93">
        <v>112</v>
      </c>
      <c r="E354" s="93">
        <v>256</v>
      </c>
      <c r="F354" s="93">
        <v>124</v>
      </c>
    </row>
    <row r="355" spans="1:6" x14ac:dyDescent="0.2">
      <c r="A355" s="172">
        <v>33756</v>
      </c>
      <c r="B355" s="93">
        <v>596</v>
      </c>
      <c r="C355" s="93">
        <v>75</v>
      </c>
      <c r="D355" s="93">
        <v>102</v>
      </c>
      <c r="E355" s="93">
        <v>264</v>
      </c>
      <c r="F355" s="93">
        <v>155</v>
      </c>
    </row>
    <row r="356" spans="1:6" x14ac:dyDescent="0.2">
      <c r="A356" s="172">
        <v>33786</v>
      </c>
      <c r="B356" s="93">
        <v>627</v>
      </c>
      <c r="C356" s="93">
        <v>64</v>
      </c>
      <c r="D356" s="93">
        <v>114</v>
      </c>
      <c r="E356" s="93">
        <v>252</v>
      </c>
      <c r="F356" s="93">
        <v>197</v>
      </c>
    </row>
    <row r="357" spans="1:6" x14ac:dyDescent="0.2">
      <c r="A357" s="172">
        <v>33817</v>
      </c>
      <c r="B357" s="93">
        <v>636</v>
      </c>
      <c r="C357" s="93">
        <v>70</v>
      </c>
      <c r="D357" s="93">
        <v>136</v>
      </c>
      <c r="E357" s="93">
        <v>255</v>
      </c>
      <c r="F357" s="93">
        <v>174</v>
      </c>
    </row>
    <row r="358" spans="1:6" x14ac:dyDescent="0.2">
      <c r="A358" s="172">
        <v>33848</v>
      </c>
      <c r="B358" s="93">
        <v>650</v>
      </c>
      <c r="C358" s="93">
        <v>83</v>
      </c>
      <c r="D358" s="93">
        <v>124</v>
      </c>
      <c r="E358" s="93">
        <v>272</v>
      </c>
      <c r="F358" s="93">
        <v>170</v>
      </c>
    </row>
    <row r="359" spans="1:6" x14ac:dyDescent="0.2">
      <c r="A359" s="172">
        <v>33878</v>
      </c>
      <c r="B359" s="93">
        <v>621</v>
      </c>
      <c r="C359" s="93">
        <v>56</v>
      </c>
      <c r="D359" s="93">
        <v>105</v>
      </c>
      <c r="E359" s="93">
        <v>285</v>
      </c>
      <c r="F359" s="93">
        <v>175</v>
      </c>
    </row>
    <row r="360" spans="1:6" x14ac:dyDescent="0.2">
      <c r="A360" s="172">
        <v>33909</v>
      </c>
      <c r="B360" s="93">
        <v>614</v>
      </c>
      <c r="C360" s="93">
        <v>66</v>
      </c>
      <c r="D360" s="93">
        <v>112</v>
      </c>
      <c r="E360" s="93">
        <v>273</v>
      </c>
      <c r="F360" s="93">
        <v>164</v>
      </c>
    </row>
    <row r="361" spans="1:6" x14ac:dyDescent="0.2">
      <c r="A361" s="172">
        <v>33939</v>
      </c>
      <c r="B361" s="93">
        <v>650</v>
      </c>
      <c r="C361" s="93">
        <v>77</v>
      </c>
      <c r="D361" s="93">
        <v>118</v>
      </c>
      <c r="E361" s="93">
        <v>271</v>
      </c>
      <c r="F361" s="93">
        <v>184</v>
      </c>
    </row>
    <row r="362" spans="1:6" x14ac:dyDescent="0.2">
      <c r="A362" s="172">
        <v>33970</v>
      </c>
      <c r="B362" s="93">
        <v>596</v>
      </c>
      <c r="C362" s="93">
        <v>53</v>
      </c>
      <c r="D362" s="93">
        <v>113</v>
      </c>
      <c r="E362" s="93">
        <v>280</v>
      </c>
      <c r="F362" s="93">
        <v>150</v>
      </c>
    </row>
    <row r="363" spans="1:6" x14ac:dyDescent="0.2">
      <c r="A363" s="172">
        <v>34001</v>
      </c>
      <c r="B363" s="93">
        <v>604</v>
      </c>
      <c r="C363" s="93">
        <v>68</v>
      </c>
      <c r="D363" s="93">
        <v>104</v>
      </c>
      <c r="E363" s="93">
        <v>275</v>
      </c>
      <c r="F363" s="93">
        <v>157</v>
      </c>
    </row>
    <row r="364" spans="1:6" x14ac:dyDescent="0.2">
      <c r="A364" s="172">
        <v>34029</v>
      </c>
      <c r="B364" s="93">
        <v>602</v>
      </c>
      <c r="C364" s="93">
        <v>53</v>
      </c>
      <c r="D364" s="93">
        <v>110</v>
      </c>
      <c r="E364" s="93">
        <v>263</v>
      </c>
      <c r="F364" s="93">
        <v>176</v>
      </c>
    </row>
    <row r="365" spans="1:6" x14ac:dyDescent="0.2">
      <c r="A365" s="172">
        <v>34060</v>
      </c>
      <c r="B365" s="93">
        <v>701</v>
      </c>
      <c r="C365" s="93">
        <v>102</v>
      </c>
      <c r="D365" s="93">
        <v>121</v>
      </c>
      <c r="E365" s="93">
        <v>293</v>
      </c>
      <c r="F365" s="93">
        <v>185</v>
      </c>
    </row>
    <row r="366" spans="1:6" x14ac:dyDescent="0.2">
      <c r="A366" s="172">
        <v>34090</v>
      </c>
      <c r="B366" s="93">
        <v>626</v>
      </c>
      <c r="C366" s="93">
        <v>68</v>
      </c>
      <c r="D366" s="93">
        <v>111</v>
      </c>
      <c r="E366" s="93">
        <v>251</v>
      </c>
      <c r="F366" s="93">
        <v>196</v>
      </c>
    </row>
    <row r="367" spans="1:6" x14ac:dyDescent="0.2">
      <c r="A367" s="172">
        <v>34121</v>
      </c>
      <c r="B367" s="93">
        <v>653</v>
      </c>
      <c r="C367" s="93">
        <v>66</v>
      </c>
      <c r="D367" s="93">
        <v>120</v>
      </c>
      <c r="E367" s="93">
        <v>296</v>
      </c>
      <c r="F367" s="93">
        <v>171</v>
      </c>
    </row>
    <row r="368" spans="1:6" x14ac:dyDescent="0.2">
      <c r="A368" s="172">
        <v>34151</v>
      </c>
      <c r="B368" s="93">
        <v>655</v>
      </c>
      <c r="C368" s="93">
        <v>59</v>
      </c>
      <c r="D368" s="93">
        <v>124</v>
      </c>
      <c r="E368" s="93">
        <v>288</v>
      </c>
      <c r="F368" s="93">
        <v>183</v>
      </c>
    </row>
    <row r="369" spans="1:6" x14ac:dyDescent="0.2">
      <c r="A369" s="172">
        <v>34182</v>
      </c>
      <c r="B369" s="93">
        <v>645</v>
      </c>
      <c r="C369" s="93">
        <v>56</v>
      </c>
      <c r="D369" s="93">
        <v>116</v>
      </c>
      <c r="E369" s="93">
        <v>294</v>
      </c>
      <c r="F369" s="93">
        <v>179</v>
      </c>
    </row>
    <row r="370" spans="1:6" x14ac:dyDescent="0.2">
      <c r="A370" s="172">
        <v>34213</v>
      </c>
      <c r="B370" s="93">
        <v>726</v>
      </c>
      <c r="C370" s="93">
        <v>60</v>
      </c>
      <c r="D370" s="93">
        <v>126</v>
      </c>
      <c r="E370" s="93">
        <v>330</v>
      </c>
      <c r="F370" s="93">
        <v>209</v>
      </c>
    </row>
    <row r="371" spans="1:6" x14ac:dyDescent="0.2">
      <c r="A371" s="172">
        <v>34243</v>
      </c>
      <c r="B371" s="93">
        <v>704</v>
      </c>
      <c r="C371" s="93">
        <v>57</v>
      </c>
      <c r="D371" s="93">
        <v>145</v>
      </c>
      <c r="E371" s="93">
        <v>306</v>
      </c>
      <c r="F371" s="93">
        <v>196</v>
      </c>
    </row>
    <row r="372" spans="1:6" x14ac:dyDescent="0.2">
      <c r="A372" s="172">
        <v>34274</v>
      </c>
      <c r="B372" s="93">
        <v>769</v>
      </c>
      <c r="C372" s="93">
        <v>53</v>
      </c>
      <c r="D372" s="93">
        <v>129</v>
      </c>
      <c r="E372" s="93">
        <v>326</v>
      </c>
      <c r="F372" s="93">
        <v>262</v>
      </c>
    </row>
    <row r="373" spans="1:6" x14ac:dyDescent="0.2">
      <c r="A373" s="172">
        <v>34304</v>
      </c>
      <c r="B373" s="93">
        <v>812</v>
      </c>
      <c r="C373" s="93">
        <v>51</v>
      </c>
      <c r="D373" s="93">
        <v>206</v>
      </c>
      <c r="E373" s="93">
        <v>329</v>
      </c>
      <c r="F373" s="93">
        <v>227</v>
      </c>
    </row>
    <row r="374" spans="1:6" x14ac:dyDescent="0.2">
      <c r="A374" s="172">
        <v>34335</v>
      </c>
      <c r="B374" s="93">
        <v>619</v>
      </c>
      <c r="C374" s="93">
        <v>50</v>
      </c>
      <c r="D374" s="93">
        <v>128</v>
      </c>
      <c r="E374" s="93">
        <v>273</v>
      </c>
      <c r="F374" s="93">
        <v>168</v>
      </c>
    </row>
    <row r="375" spans="1:6" x14ac:dyDescent="0.2">
      <c r="A375" s="172">
        <v>34366</v>
      </c>
      <c r="B375" s="93">
        <v>686</v>
      </c>
      <c r="C375" s="93">
        <v>49</v>
      </c>
      <c r="D375" s="93">
        <v>135</v>
      </c>
      <c r="E375" s="93">
        <v>293</v>
      </c>
      <c r="F375" s="93">
        <v>209</v>
      </c>
    </row>
    <row r="376" spans="1:6" x14ac:dyDescent="0.2">
      <c r="A376" s="172">
        <v>34394</v>
      </c>
      <c r="B376" s="93">
        <v>747</v>
      </c>
      <c r="C376" s="93">
        <v>65</v>
      </c>
      <c r="D376" s="93">
        <v>130</v>
      </c>
      <c r="E376" s="93">
        <v>328</v>
      </c>
      <c r="F376" s="93">
        <v>224</v>
      </c>
    </row>
    <row r="377" spans="1:6" x14ac:dyDescent="0.2">
      <c r="A377" s="172">
        <v>34425</v>
      </c>
      <c r="B377" s="93">
        <v>692</v>
      </c>
      <c r="C377" s="93">
        <v>62</v>
      </c>
      <c r="D377" s="93">
        <v>127</v>
      </c>
      <c r="E377" s="93">
        <v>310</v>
      </c>
      <c r="F377" s="93">
        <v>192</v>
      </c>
    </row>
    <row r="378" spans="1:6" x14ac:dyDescent="0.2">
      <c r="A378" s="172">
        <v>34455</v>
      </c>
      <c r="B378" s="93">
        <v>691</v>
      </c>
      <c r="C378" s="93">
        <v>63</v>
      </c>
      <c r="D378" s="93">
        <v>125</v>
      </c>
      <c r="E378" s="93">
        <v>312</v>
      </c>
      <c r="F378" s="93">
        <v>192</v>
      </c>
    </row>
    <row r="379" spans="1:6" x14ac:dyDescent="0.2">
      <c r="A379" s="172">
        <v>34486</v>
      </c>
      <c r="B379" s="93">
        <v>621</v>
      </c>
      <c r="C379" s="93">
        <v>54</v>
      </c>
      <c r="D379" s="93">
        <v>119</v>
      </c>
      <c r="E379" s="93">
        <v>263</v>
      </c>
      <c r="F379" s="93">
        <v>185</v>
      </c>
    </row>
    <row r="380" spans="1:6" x14ac:dyDescent="0.2">
      <c r="A380" s="172">
        <v>34516</v>
      </c>
      <c r="B380" s="93">
        <v>628</v>
      </c>
      <c r="C380" s="93">
        <v>51</v>
      </c>
      <c r="D380" s="93">
        <v>108</v>
      </c>
      <c r="E380" s="93">
        <v>282</v>
      </c>
      <c r="F380" s="93">
        <v>188</v>
      </c>
    </row>
    <row r="381" spans="1:6" x14ac:dyDescent="0.2">
      <c r="A381" s="172">
        <v>34547</v>
      </c>
      <c r="B381" s="93">
        <v>656</v>
      </c>
      <c r="C381" s="93">
        <v>72</v>
      </c>
      <c r="D381" s="93">
        <v>112</v>
      </c>
      <c r="E381" s="93">
        <v>270</v>
      </c>
      <c r="F381" s="93">
        <v>201</v>
      </c>
    </row>
    <row r="382" spans="1:6" x14ac:dyDescent="0.2">
      <c r="A382" s="172">
        <v>34578</v>
      </c>
      <c r="B382" s="93">
        <v>677</v>
      </c>
      <c r="C382" s="93">
        <v>83</v>
      </c>
      <c r="D382" s="93">
        <v>111</v>
      </c>
      <c r="E382" s="93">
        <v>296</v>
      </c>
      <c r="F382" s="93">
        <v>187</v>
      </c>
    </row>
    <row r="383" spans="1:6" x14ac:dyDescent="0.2">
      <c r="A383" s="172">
        <v>34608</v>
      </c>
      <c r="B383" s="93">
        <v>715</v>
      </c>
      <c r="C383" s="93">
        <v>67</v>
      </c>
      <c r="D383" s="93">
        <v>141</v>
      </c>
      <c r="E383" s="93">
        <v>302</v>
      </c>
      <c r="F383" s="93">
        <v>206</v>
      </c>
    </row>
    <row r="384" spans="1:6" x14ac:dyDescent="0.2">
      <c r="A384" s="172">
        <v>34639</v>
      </c>
      <c r="B384" s="93">
        <v>646</v>
      </c>
      <c r="C384" s="93">
        <v>64</v>
      </c>
      <c r="D384" s="93">
        <v>126</v>
      </c>
      <c r="E384" s="93">
        <v>275</v>
      </c>
      <c r="F384" s="93">
        <v>181</v>
      </c>
    </row>
    <row r="385" spans="1:6" x14ac:dyDescent="0.2">
      <c r="A385" s="172">
        <v>34669</v>
      </c>
      <c r="B385" s="93">
        <v>629</v>
      </c>
      <c r="C385" s="93">
        <v>49</v>
      </c>
      <c r="D385" s="93">
        <v>113</v>
      </c>
      <c r="E385" s="93">
        <v>303</v>
      </c>
      <c r="F385" s="93">
        <v>165</v>
      </c>
    </row>
    <row r="386" spans="1:6" x14ac:dyDescent="0.2">
      <c r="A386" s="172">
        <v>34700</v>
      </c>
      <c r="B386" s="93">
        <v>626</v>
      </c>
      <c r="C386" s="93">
        <v>64</v>
      </c>
      <c r="D386" s="93">
        <v>107</v>
      </c>
      <c r="E386" s="93">
        <v>282</v>
      </c>
      <c r="F386" s="93">
        <v>173</v>
      </c>
    </row>
    <row r="387" spans="1:6" x14ac:dyDescent="0.2">
      <c r="A387" s="172">
        <v>34731</v>
      </c>
      <c r="B387" s="93">
        <v>559</v>
      </c>
      <c r="C387" s="93">
        <v>58</v>
      </c>
      <c r="D387" s="93">
        <v>110</v>
      </c>
      <c r="E387" s="93">
        <v>265</v>
      </c>
      <c r="F387" s="93">
        <v>126</v>
      </c>
    </row>
    <row r="388" spans="1:6" x14ac:dyDescent="0.2">
      <c r="A388" s="172">
        <v>34759</v>
      </c>
      <c r="B388" s="93">
        <v>616</v>
      </c>
      <c r="C388" s="93">
        <v>62</v>
      </c>
      <c r="D388" s="93">
        <v>122</v>
      </c>
      <c r="E388" s="93">
        <v>267</v>
      </c>
      <c r="F388" s="93">
        <v>165</v>
      </c>
    </row>
    <row r="389" spans="1:6" x14ac:dyDescent="0.2">
      <c r="A389" s="172">
        <v>34790</v>
      </c>
      <c r="B389" s="93">
        <v>621</v>
      </c>
      <c r="C389" s="93">
        <v>55</v>
      </c>
      <c r="D389" s="93">
        <v>128</v>
      </c>
      <c r="E389" s="93">
        <v>266</v>
      </c>
      <c r="F389" s="93">
        <v>173</v>
      </c>
    </row>
    <row r="390" spans="1:6" x14ac:dyDescent="0.2">
      <c r="A390" s="172">
        <v>34820</v>
      </c>
      <c r="B390" s="93">
        <v>674</v>
      </c>
      <c r="C390" s="93">
        <v>54</v>
      </c>
      <c r="D390" s="93">
        <v>121</v>
      </c>
      <c r="E390" s="93">
        <v>288</v>
      </c>
      <c r="F390" s="93">
        <v>211</v>
      </c>
    </row>
    <row r="391" spans="1:6" x14ac:dyDescent="0.2">
      <c r="A391" s="172">
        <v>34851</v>
      </c>
      <c r="B391" s="93">
        <v>725</v>
      </c>
      <c r="C391" s="93">
        <v>77</v>
      </c>
      <c r="D391" s="93">
        <v>131</v>
      </c>
      <c r="E391" s="93">
        <v>299</v>
      </c>
      <c r="F391" s="93">
        <v>219</v>
      </c>
    </row>
    <row r="392" spans="1:6" x14ac:dyDescent="0.2">
      <c r="A392" s="172">
        <v>34881</v>
      </c>
      <c r="B392" s="93">
        <v>765</v>
      </c>
      <c r="C392" s="93">
        <v>54</v>
      </c>
      <c r="D392" s="93">
        <v>134</v>
      </c>
      <c r="E392" s="93">
        <v>378</v>
      </c>
      <c r="F392" s="93">
        <v>198</v>
      </c>
    </row>
    <row r="393" spans="1:6" x14ac:dyDescent="0.2">
      <c r="A393" s="172">
        <v>34912</v>
      </c>
      <c r="B393" s="93">
        <v>701</v>
      </c>
      <c r="C393" s="93">
        <v>49</v>
      </c>
      <c r="D393" s="93">
        <v>138</v>
      </c>
      <c r="E393" s="93">
        <v>309</v>
      </c>
      <c r="F393" s="93">
        <v>206</v>
      </c>
    </row>
    <row r="394" spans="1:6" x14ac:dyDescent="0.2">
      <c r="A394" s="172">
        <v>34943</v>
      </c>
      <c r="B394" s="93">
        <v>678</v>
      </c>
      <c r="C394" s="93">
        <v>36</v>
      </c>
      <c r="D394" s="93">
        <v>132</v>
      </c>
      <c r="E394" s="93">
        <v>305</v>
      </c>
      <c r="F394" s="93">
        <v>206</v>
      </c>
    </row>
    <row r="395" spans="1:6" x14ac:dyDescent="0.2">
      <c r="A395" s="172">
        <v>34973</v>
      </c>
      <c r="B395" s="93">
        <v>696</v>
      </c>
      <c r="C395" s="93">
        <v>54</v>
      </c>
      <c r="D395" s="93">
        <v>131</v>
      </c>
      <c r="E395" s="93">
        <v>314</v>
      </c>
      <c r="F395" s="93">
        <v>198</v>
      </c>
    </row>
    <row r="396" spans="1:6" x14ac:dyDescent="0.2">
      <c r="A396" s="172">
        <v>35004</v>
      </c>
      <c r="B396" s="93">
        <v>664</v>
      </c>
      <c r="C396" s="93">
        <v>46</v>
      </c>
      <c r="D396" s="93">
        <v>130</v>
      </c>
      <c r="E396" s="93">
        <v>298</v>
      </c>
      <c r="F396" s="93">
        <v>189</v>
      </c>
    </row>
    <row r="397" spans="1:6" x14ac:dyDescent="0.2">
      <c r="A397" s="172">
        <v>35034</v>
      </c>
      <c r="B397" s="93">
        <v>709</v>
      </c>
      <c r="C397" s="93">
        <v>83</v>
      </c>
      <c r="D397" s="93">
        <v>125</v>
      </c>
      <c r="E397" s="93">
        <v>306</v>
      </c>
      <c r="F397" s="93">
        <v>195</v>
      </c>
    </row>
    <row r="398" spans="1:6" x14ac:dyDescent="0.2">
      <c r="A398" s="172">
        <v>35065</v>
      </c>
      <c r="B398" s="93">
        <v>714</v>
      </c>
      <c r="C398" s="93">
        <v>47</v>
      </c>
      <c r="D398" s="93">
        <v>146</v>
      </c>
      <c r="E398" s="93">
        <v>307</v>
      </c>
      <c r="F398" s="93">
        <v>213</v>
      </c>
    </row>
    <row r="399" spans="1:6" x14ac:dyDescent="0.2">
      <c r="A399" s="172">
        <v>35096</v>
      </c>
      <c r="B399" s="93">
        <v>769</v>
      </c>
      <c r="C399" s="93">
        <v>57</v>
      </c>
      <c r="D399" s="93">
        <v>137</v>
      </c>
      <c r="E399" s="93">
        <v>346</v>
      </c>
      <c r="F399" s="93">
        <v>228</v>
      </c>
    </row>
    <row r="400" spans="1:6" x14ac:dyDescent="0.2">
      <c r="A400" s="172">
        <v>35125</v>
      </c>
      <c r="B400" s="93">
        <v>721</v>
      </c>
      <c r="C400" s="93">
        <v>51</v>
      </c>
      <c r="D400" s="93">
        <v>132</v>
      </c>
      <c r="E400" s="93">
        <v>329</v>
      </c>
      <c r="F400" s="93">
        <v>209</v>
      </c>
    </row>
    <row r="401" spans="1:11" x14ac:dyDescent="0.2">
      <c r="A401" s="172">
        <v>35156</v>
      </c>
      <c r="B401" s="93">
        <v>736</v>
      </c>
      <c r="C401" s="93">
        <v>60</v>
      </c>
      <c r="D401" s="93">
        <v>128</v>
      </c>
      <c r="E401" s="93">
        <v>326</v>
      </c>
      <c r="F401" s="93">
        <v>222</v>
      </c>
    </row>
    <row r="402" spans="1:11" x14ac:dyDescent="0.2">
      <c r="A402" s="172">
        <v>35186</v>
      </c>
      <c r="B402" s="93">
        <v>746</v>
      </c>
      <c r="C402" s="93">
        <v>54</v>
      </c>
      <c r="D402" s="93">
        <v>141</v>
      </c>
      <c r="E402" s="93">
        <v>354</v>
      </c>
      <c r="F402" s="93">
        <v>198</v>
      </c>
    </row>
    <row r="403" spans="1:11" x14ac:dyDescent="0.2">
      <c r="A403" s="172">
        <v>35217</v>
      </c>
      <c r="B403" s="93">
        <v>721</v>
      </c>
      <c r="C403" s="93">
        <v>77</v>
      </c>
      <c r="D403" s="93">
        <v>122</v>
      </c>
      <c r="E403" s="93">
        <v>320</v>
      </c>
      <c r="F403" s="93">
        <v>202</v>
      </c>
    </row>
    <row r="404" spans="1:11" x14ac:dyDescent="0.2">
      <c r="A404" s="172">
        <v>35247</v>
      </c>
      <c r="B404" s="93">
        <v>770</v>
      </c>
      <c r="C404" s="93">
        <v>84</v>
      </c>
      <c r="D404" s="93">
        <v>133</v>
      </c>
      <c r="E404" s="93">
        <v>343</v>
      </c>
      <c r="F404" s="93">
        <v>209</v>
      </c>
    </row>
    <row r="405" spans="1:11" x14ac:dyDescent="0.2">
      <c r="A405" s="172">
        <v>35278</v>
      </c>
      <c r="B405" s="93">
        <v>826</v>
      </c>
      <c r="C405" s="93">
        <v>82</v>
      </c>
      <c r="D405" s="93">
        <v>173</v>
      </c>
      <c r="E405" s="93">
        <v>364</v>
      </c>
      <c r="F405" s="93">
        <v>207</v>
      </c>
    </row>
    <row r="406" spans="1:11" x14ac:dyDescent="0.2">
      <c r="A406" s="172">
        <v>35309</v>
      </c>
      <c r="B406" s="93">
        <v>770</v>
      </c>
      <c r="C406" s="93">
        <v>89</v>
      </c>
      <c r="D406" s="93">
        <v>130</v>
      </c>
      <c r="E406" s="93">
        <v>343</v>
      </c>
      <c r="F406" s="93">
        <v>208</v>
      </c>
    </row>
    <row r="407" spans="1:11" x14ac:dyDescent="0.2">
      <c r="A407" s="172">
        <v>35339</v>
      </c>
      <c r="B407" s="93">
        <v>720</v>
      </c>
      <c r="C407" s="93">
        <v>77</v>
      </c>
      <c r="D407" s="93">
        <v>117</v>
      </c>
      <c r="E407" s="93">
        <v>334</v>
      </c>
      <c r="F407" s="93">
        <v>191</v>
      </c>
    </row>
    <row r="408" spans="1:11" x14ac:dyDescent="0.2">
      <c r="A408" s="172">
        <v>35370</v>
      </c>
      <c r="B408" s="93">
        <v>771</v>
      </c>
      <c r="C408" s="93">
        <v>77</v>
      </c>
      <c r="D408" s="93">
        <v>127</v>
      </c>
      <c r="E408" s="93">
        <v>354</v>
      </c>
      <c r="F408" s="93">
        <v>213</v>
      </c>
    </row>
    <row r="409" spans="1:11" x14ac:dyDescent="0.2">
      <c r="A409" s="172">
        <v>35400</v>
      </c>
      <c r="B409" s="93">
        <v>805</v>
      </c>
      <c r="C409" s="93">
        <v>88</v>
      </c>
      <c r="D409" s="93">
        <v>148</v>
      </c>
      <c r="E409" s="93">
        <v>350</v>
      </c>
      <c r="F409" s="93">
        <v>220</v>
      </c>
    </row>
    <row r="410" spans="1:11" x14ac:dyDescent="0.2">
      <c r="A410" s="172">
        <v>35431</v>
      </c>
      <c r="B410" s="93">
        <v>830</v>
      </c>
      <c r="C410" s="93">
        <v>107</v>
      </c>
      <c r="D410" s="93">
        <v>148</v>
      </c>
      <c r="E410" s="93">
        <v>377</v>
      </c>
      <c r="F410" s="93">
        <v>197</v>
      </c>
      <c r="G410" s="173"/>
      <c r="H410" s="173"/>
      <c r="I410" s="173"/>
      <c r="J410" s="173"/>
      <c r="K410" s="173"/>
    </row>
    <row r="411" spans="1:11" x14ac:dyDescent="0.2">
      <c r="A411" s="172">
        <v>35462</v>
      </c>
      <c r="B411" s="93">
        <v>801</v>
      </c>
      <c r="C411" s="93">
        <v>96</v>
      </c>
      <c r="D411" s="93">
        <v>119</v>
      </c>
      <c r="E411" s="93">
        <v>382</v>
      </c>
      <c r="F411" s="93">
        <v>204</v>
      </c>
      <c r="G411" s="173"/>
      <c r="H411" s="173"/>
      <c r="I411" s="173"/>
      <c r="J411" s="173"/>
      <c r="K411" s="173"/>
    </row>
    <row r="412" spans="1:11" x14ac:dyDescent="0.2">
      <c r="A412" s="172">
        <v>35490</v>
      </c>
      <c r="B412" s="93">
        <v>831</v>
      </c>
      <c r="C412" s="93">
        <v>91</v>
      </c>
      <c r="D412" s="93">
        <v>125</v>
      </c>
      <c r="E412" s="93">
        <v>375</v>
      </c>
      <c r="F412" s="93">
        <v>240</v>
      </c>
      <c r="G412" s="173"/>
      <c r="H412" s="173"/>
      <c r="I412" s="173"/>
      <c r="J412" s="173"/>
      <c r="K412" s="173"/>
    </row>
    <row r="413" spans="1:11" x14ac:dyDescent="0.2">
      <c r="A413" s="172">
        <v>35521</v>
      </c>
      <c r="B413" s="93">
        <v>744</v>
      </c>
      <c r="C413" s="93">
        <v>83</v>
      </c>
      <c r="D413" s="93">
        <v>134</v>
      </c>
      <c r="E413" s="93">
        <v>325</v>
      </c>
      <c r="F413" s="93">
        <v>202</v>
      </c>
      <c r="G413" s="173"/>
      <c r="H413" s="173"/>
      <c r="I413" s="173"/>
      <c r="J413" s="173"/>
      <c r="K413" s="173"/>
    </row>
    <row r="414" spans="1:11" x14ac:dyDescent="0.2">
      <c r="A414" s="172">
        <v>35551</v>
      </c>
      <c r="B414" s="93">
        <v>760</v>
      </c>
      <c r="C414" s="93">
        <v>83</v>
      </c>
      <c r="D414" s="93">
        <v>137</v>
      </c>
      <c r="E414" s="93">
        <v>342</v>
      </c>
      <c r="F414" s="93">
        <v>198</v>
      </c>
      <c r="G414" s="173"/>
      <c r="H414" s="173"/>
      <c r="I414" s="173"/>
      <c r="J414" s="173"/>
      <c r="K414" s="173"/>
    </row>
    <row r="415" spans="1:11" x14ac:dyDescent="0.2">
      <c r="A415" s="172">
        <v>35582</v>
      </c>
      <c r="B415" s="93">
        <v>793</v>
      </c>
      <c r="C415" s="93">
        <v>71</v>
      </c>
      <c r="D415" s="93">
        <v>157</v>
      </c>
      <c r="E415" s="93">
        <v>352</v>
      </c>
      <c r="F415" s="93">
        <v>213</v>
      </c>
      <c r="G415" s="173"/>
      <c r="H415" s="173"/>
      <c r="I415" s="173"/>
      <c r="J415" s="173"/>
      <c r="K415" s="173"/>
    </row>
    <row r="416" spans="1:11" x14ac:dyDescent="0.2">
      <c r="A416" s="172">
        <v>35612</v>
      </c>
      <c r="B416" s="93">
        <v>805</v>
      </c>
      <c r="C416" s="93">
        <v>66</v>
      </c>
      <c r="D416" s="93">
        <v>152</v>
      </c>
      <c r="E416" s="93">
        <v>344</v>
      </c>
      <c r="F416" s="93">
        <v>243</v>
      </c>
      <c r="G416" s="173"/>
      <c r="H416" s="173"/>
      <c r="I416" s="173"/>
      <c r="J416" s="173"/>
      <c r="K416" s="173"/>
    </row>
    <row r="417" spans="1:11" x14ac:dyDescent="0.2">
      <c r="A417" s="172">
        <v>35643</v>
      </c>
      <c r="B417" s="93">
        <v>815</v>
      </c>
      <c r="C417" s="93">
        <v>73</v>
      </c>
      <c r="D417" s="93">
        <v>138</v>
      </c>
      <c r="E417" s="93">
        <v>383</v>
      </c>
      <c r="F417" s="93">
        <v>221</v>
      </c>
      <c r="G417" s="173"/>
      <c r="H417" s="173"/>
      <c r="I417" s="173"/>
      <c r="J417" s="173"/>
      <c r="K417" s="173"/>
    </row>
    <row r="418" spans="1:11" x14ac:dyDescent="0.2">
      <c r="A418" s="172">
        <v>35674</v>
      </c>
      <c r="B418" s="93">
        <v>840</v>
      </c>
      <c r="C418" s="93">
        <v>71</v>
      </c>
      <c r="D418" s="93">
        <v>129</v>
      </c>
      <c r="E418" s="93">
        <v>388</v>
      </c>
      <c r="F418" s="93">
        <v>252</v>
      </c>
      <c r="G418" s="173"/>
      <c r="H418" s="173"/>
      <c r="I418" s="173"/>
      <c r="J418" s="173"/>
      <c r="K418" s="173"/>
    </row>
    <row r="419" spans="1:11" x14ac:dyDescent="0.2">
      <c r="A419" s="172">
        <v>35704</v>
      </c>
      <c r="B419" s="93">
        <v>800</v>
      </c>
      <c r="C419" s="93">
        <v>72</v>
      </c>
      <c r="D419" s="93">
        <v>133</v>
      </c>
      <c r="E419" s="93">
        <v>368</v>
      </c>
      <c r="F419" s="93">
        <v>227</v>
      </c>
      <c r="G419" s="173"/>
      <c r="H419" s="173"/>
      <c r="I419" s="173"/>
      <c r="J419" s="173"/>
      <c r="K419" s="173"/>
    </row>
    <row r="420" spans="1:11" x14ac:dyDescent="0.2">
      <c r="A420" s="172">
        <v>35735</v>
      </c>
      <c r="B420" s="93">
        <v>864</v>
      </c>
      <c r="C420" s="93">
        <v>85</v>
      </c>
      <c r="D420" s="93">
        <v>166</v>
      </c>
      <c r="E420" s="93">
        <v>386</v>
      </c>
      <c r="F420" s="93">
        <v>227</v>
      </c>
      <c r="G420" s="173"/>
      <c r="H420" s="173"/>
      <c r="I420" s="173"/>
      <c r="J420" s="173"/>
      <c r="K420" s="173"/>
    </row>
    <row r="421" spans="1:11" x14ac:dyDescent="0.2">
      <c r="A421" s="172">
        <v>35765</v>
      </c>
      <c r="B421" s="93">
        <v>793</v>
      </c>
      <c r="C421" s="93">
        <v>76</v>
      </c>
      <c r="D421" s="93">
        <v>157</v>
      </c>
      <c r="E421" s="93">
        <v>354</v>
      </c>
      <c r="F421" s="93">
        <v>205</v>
      </c>
      <c r="G421" s="173"/>
      <c r="H421" s="173"/>
      <c r="I421" s="173"/>
      <c r="J421" s="173"/>
      <c r="K421" s="173"/>
    </row>
    <row r="422" spans="1:11" x14ac:dyDescent="0.2">
      <c r="A422" s="172">
        <v>35796</v>
      </c>
      <c r="B422" s="93">
        <v>872</v>
      </c>
      <c r="C422" s="93">
        <v>73</v>
      </c>
      <c r="D422" s="93">
        <v>166</v>
      </c>
      <c r="E422" s="93">
        <v>413</v>
      </c>
      <c r="F422" s="93">
        <v>220</v>
      </c>
      <c r="G422" s="173"/>
      <c r="H422" s="173"/>
      <c r="I422" s="173"/>
      <c r="J422" s="173"/>
      <c r="K422" s="173"/>
    </row>
    <row r="423" spans="1:11" x14ac:dyDescent="0.2">
      <c r="A423" s="172">
        <v>35827</v>
      </c>
      <c r="B423" s="93">
        <v>866</v>
      </c>
      <c r="C423" s="93">
        <v>90</v>
      </c>
      <c r="D423" s="93">
        <v>187</v>
      </c>
      <c r="E423" s="93">
        <v>348</v>
      </c>
      <c r="F423" s="93">
        <v>241</v>
      </c>
      <c r="G423" s="173"/>
      <c r="H423" s="173"/>
      <c r="I423" s="173"/>
      <c r="J423" s="173"/>
      <c r="K423" s="173"/>
    </row>
    <row r="424" spans="1:11" x14ac:dyDescent="0.2">
      <c r="A424" s="172">
        <v>35855</v>
      </c>
      <c r="B424" s="93">
        <v>836</v>
      </c>
      <c r="C424" s="93">
        <v>87</v>
      </c>
      <c r="D424" s="93">
        <v>178</v>
      </c>
      <c r="E424" s="93">
        <v>354</v>
      </c>
      <c r="F424" s="93">
        <v>217</v>
      </c>
      <c r="G424" s="173"/>
      <c r="H424" s="173"/>
      <c r="I424" s="173"/>
      <c r="J424" s="173"/>
      <c r="K424" s="173"/>
    </row>
    <row r="425" spans="1:11" x14ac:dyDescent="0.2">
      <c r="A425" s="172">
        <v>35886</v>
      </c>
      <c r="B425" s="93">
        <v>866</v>
      </c>
      <c r="C425" s="93">
        <v>87</v>
      </c>
      <c r="D425" s="93">
        <v>151</v>
      </c>
      <c r="E425" s="93">
        <v>401</v>
      </c>
      <c r="F425" s="93">
        <v>226</v>
      </c>
      <c r="G425" s="173"/>
      <c r="H425" s="173"/>
      <c r="I425" s="173"/>
      <c r="J425" s="173"/>
      <c r="K425" s="173"/>
    </row>
    <row r="426" spans="1:11" x14ac:dyDescent="0.2">
      <c r="A426" s="172">
        <v>35916</v>
      </c>
      <c r="B426" s="93">
        <v>887</v>
      </c>
      <c r="C426" s="93">
        <v>95</v>
      </c>
      <c r="D426" s="93">
        <v>147</v>
      </c>
      <c r="E426" s="93">
        <v>374</v>
      </c>
      <c r="F426" s="93">
        <v>270</v>
      </c>
      <c r="G426" s="173"/>
      <c r="H426" s="173"/>
      <c r="I426" s="173"/>
      <c r="J426" s="173"/>
      <c r="K426" s="173"/>
    </row>
    <row r="427" spans="1:11" x14ac:dyDescent="0.2">
      <c r="A427" s="172">
        <v>35947</v>
      </c>
      <c r="B427" s="93">
        <v>923</v>
      </c>
      <c r="C427" s="93">
        <v>82</v>
      </c>
      <c r="D427" s="93">
        <v>173</v>
      </c>
      <c r="E427" s="93">
        <v>433</v>
      </c>
      <c r="F427" s="93">
        <v>235</v>
      </c>
      <c r="G427" s="173"/>
      <c r="H427" s="173"/>
      <c r="I427" s="173"/>
      <c r="J427" s="173"/>
      <c r="K427" s="173"/>
    </row>
    <row r="428" spans="1:11" x14ac:dyDescent="0.2">
      <c r="A428" s="172">
        <v>35977</v>
      </c>
      <c r="B428" s="93">
        <v>876</v>
      </c>
      <c r="C428" s="93">
        <v>72</v>
      </c>
      <c r="D428" s="93">
        <v>160</v>
      </c>
      <c r="E428" s="93">
        <v>408</v>
      </c>
      <c r="F428" s="93">
        <v>237</v>
      </c>
      <c r="G428" s="173"/>
      <c r="H428" s="173"/>
      <c r="I428" s="173"/>
      <c r="J428" s="173"/>
      <c r="K428" s="173"/>
    </row>
    <row r="429" spans="1:11" x14ac:dyDescent="0.2">
      <c r="A429" s="172">
        <v>36008</v>
      </c>
      <c r="B429" s="93">
        <v>846</v>
      </c>
      <c r="C429" s="93">
        <v>77</v>
      </c>
      <c r="D429" s="93">
        <v>149</v>
      </c>
      <c r="E429" s="93">
        <v>378</v>
      </c>
      <c r="F429" s="93">
        <v>243</v>
      </c>
      <c r="G429" s="173"/>
      <c r="H429" s="173"/>
      <c r="I429" s="173"/>
      <c r="J429" s="173"/>
      <c r="K429" s="173"/>
    </row>
    <row r="430" spans="1:11" x14ac:dyDescent="0.2">
      <c r="A430" s="172">
        <v>36039</v>
      </c>
      <c r="B430" s="93">
        <v>864</v>
      </c>
      <c r="C430" s="93">
        <v>78</v>
      </c>
      <c r="D430" s="93">
        <v>175</v>
      </c>
      <c r="E430" s="93">
        <v>382</v>
      </c>
      <c r="F430" s="93">
        <v>228</v>
      </c>
      <c r="G430" s="173"/>
      <c r="H430" s="173"/>
      <c r="I430" s="173"/>
      <c r="J430" s="173"/>
      <c r="K430" s="173"/>
    </row>
    <row r="431" spans="1:11" x14ac:dyDescent="0.2">
      <c r="A431" s="172">
        <v>36069</v>
      </c>
      <c r="B431" s="93">
        <v>893</v>
      </c>
      <c r="C431" s="93">
        <v>77</v>
      </c>
      <c r="D431" s="93">
        <v>159</v>
      </c>
      <c r="E431" s="93">
        <v>399</v>
      </c>
      <c r="F431" s="93">
        <v>258</v>
      </c>
      <c r="G431" s="173"/>
      <c r="H431" s="173"/>
      <c r="I431" s="173"/>
      <c r="J431" s="173"/>
      <c r="K431" s="173"/>
    </row>
    <row r="432" spans="1:11" x14ac:dyDescent="0.2">
      <c r="A432" s="172">
        <v>36100</v>
      </c>
      <c r="B432" s="93">
        <v>995</v>
      </c>
      <c r="C432" s="93">
        <v>95</v>
      </c>
      <c r="D432" s="93">
        <v>161</v>
      </c>
      <c r="E432" s="93">
        <v>447</v>
      </c>
      <c r="F432" s="93">
        <v>292</v>
      </c>
      <c r="G432" s="173"/>
      <c r="H432" s="173"/>
      <c r="I432" s="173"/>
      <c r="J432" s="173"/>
      <c r="K432" s="173"/>
    </row>
    <row r="433" spans="1:11" x14ac:dyDescent="0.2">
      <c r="A433" s="172">
        <v>36130</v>
      </c>
      <c r="B433" s="93">
        <v>949</v>
      </c>
      <c r="C433" s="93">
        <v>76</v>
      </c>
      <c r="D433" s="93">
        <v>186</v>
      </c>
      <c r="E433" s="93">
        <v>434</v>
      </c>
      <c r="F433" s="93">
        <v>252</v>
      </c>
      <c r="G433" s="173"/>
      <c r="H433" s="173"/>
      <c r="I433" s="173"/>
      <c r="J433" s="173"/>
      <c r="K433" s="173"/>
    </row>
    <row r="434" spans="1:11" x14ac:dyDescent="0.2">
      <c r="A434" s="172">
        <v>36161</v>
      </c>
      <c r="B434" s="93">
        <v>875</v>
      </c>
      <c r="C434" s="93">
        <v>78</v>
      </c>
      <c r="D434" s="93">
        <v>152</v>
      </c>
      <c r="E434" s="93">
        <v>402</v>
      </c>
      <c r="F434" s="93">
        <v>243</v>
      </c>
      <c r="G434" s="173"/>
      <c r="H434" s="173"/>
      <c r="I434" s="173"/>
      <c r="J434" s="173"/>
      <c r="K434" s="173"/>
    </row>
    <row r="435" spans="1:11" x14ac:dyDescent="0.2">
      <c r="A435" s="172">
        <v>36192</v>
      </c>
      <c r="B435" s="93">
        <v>848</v>
      </c>
      <c r="C435" s="93">
        <v>78</v>
      </c>
      <c r="D435" s="93">
        <v>163</v>
      </c>
      <c r="E435" s="93">
        <v>406</v>
      </c>
      <c r="F435" s="93">
        <v>201</v>
      </c>
      <c r="G435" s="173"/>
      <c r="H435" s="173"/>
      <c r="I435" s="173"/>
      <c r="J435" s="173"/>
      <c r="K435" s="173"/>
    </row>
    <row r="436" spans="1:11" x14ac:dyDescent="0.2">
      <c r="A436" s="172">
        <v>36220</v>
      </c>
      <c r="B436" s="93">
        <v>863</v>
      </c>
      <c r="C436" s="93">
        <v>71</v>
      </c>
      <c r="D436" s="93">
        <v>149</v>
      </c>
      <c r="E436" s="93">
        <v>385</v>
      </c>
      <c r="F436" s="93">
        <v>258</v>
      </c>
      <c r="G436" s="173"/>
      <c r="H436" s="173"/>
      <c r="I436" s="173"/>
      <c r="J436" s="173"/>
      <c r="K436" s="173"/>
    </row>
    <row r="437" spans="1:11" x14ac:dyDescent="0.2">
      <c r="A437" s="172">
        <v>36251</v>
      </c>
      <c r="B437" s="93">
        <v>918</v>
      </c>
      <c r="C437" s="93">
        <v>77</v>
      </c>
      <c r="D437" s="93">
        <v>169</v>
      </c>
      <c r="E437" s="93">
        <v>406</v>
      </c>
      <c r="F437" s="93">
        <v>266</v>
      </c>
      <c r="G437" s="173"/>
      <c r="H437" s="173"/>
      <c r="I437" s="173"/>
      <c r="J437" s="173"/>
      <c r="K437" s="173"/>
    </row>
    <row r="438" spans="1:11" x14ac:dyDescent="0.2">
      <c r="A438" s="172">
        <v>36281</v>
      </c>
      <c r="B438" s="93">
        <v>888</v>
      </c>
      <c r="C438" s="93">
        <v>70</v>
      </c>
      <c r="D438" s="93">
        <v>175</v>
      </c>
      <c r="E438" s="93">
        <v>400</v>
      </c>
      <c r="F438" s="93">
        <v>243</v>
      </c>
      <c r="G438" s="173"/>
      <c r="H438" s="173"/>
      <c r="I438" s="173"/>
      <c r="J438" s="173"/>
      <c r="K438" s="173"/>
    </row>
    <row r="439" spans="1:11" x14ac:dyDescent="0.2">
      <c r="A439" s="172">
        <v>36312</v>
      </c>
      <c r="B439" s="93">
        <v>923</v>
      </c>
      <c r="C439" s="93">
        <v>67</v>
      </c>
      <c r="D439" s="93">
        <v>171</v>
      </c>
      <c r="E439" s="93">
        <v>423</v>
      </c>
      <c r="F439" s="93">
        <v>262</v>
      </c>
      <c r="G439" s="173"/>
      <c r="H439" s="173"/>
      <c r="I439" s="173"/>
      <c r="J439" s="173"/>
      <c r="K439" s="173"/>
    </row>
    <row r="440" spans="1:11" x14ac:dyDescent="0.2">
      <c r="A440" s="172">
        <v>36342</v>
      </c>
      <c r="B440" s="93">
        <v>900</v>
      </c>
      <c r="C440" s="93">
        <v>85</v>
      </c>
      <c r="D440" s="93">
        <v>171</v>
      </c>
      <c r="E440" s="93">
        <v>409</v>
      </c>
      <c r="F440" s="93">
        <v>235</v>
      </c>
      <c r="G440" s="173"/>
      <c r="H440" s="173"/>
      <c r="I440" s="173"/>
      <c r="J440" s="173"/>
      <c r="K440" s="173"/>
    </row>
    <row r="441" spans="1:11" x14ac:dyDescent="0.2">
      <c r="A441" s="172">
        <v>36373</v>
      </c>
      <c r="B441" s="93">
        <v>893</v>
      </c>
      <c r="C441" s="93">
        <v>94</v>
      </c>
      <c r="D441" s="93">
        <v>185</v>
      </c>
      <c r="E441" s="93">
        <v>380</v>
      </c>
      <c r="F441" s="93">
        <v>234</v>
      </c>
      <c r="G441" s="173"/>
      <c r="H441" s="173"/>
      <c r="I441" s="173"/>
      <c r="J441" s="173"/>
      <c r="K441" s="173"/>
    </row>
    <row r="442" spans="1:11" x14ac:dyDescent="0.2">
      <c r="A442" s="172">
        <v>36404</v>
      </c>
      <c r="B442" s="93">
        <v>826</v>
      </c>
      <c r="C442" s="93">
        <v>75</v>
      </c>
      <c r="D442" s="93">
        <v>158</v>
      </c>
      <c r="E442" s="93">
        <v>372</v>
      </c>
      <c r="F442" s="93">
        <v>221</v>
      </c>
      <c r="G442" s="173"/>
      <c r="H442" s="173"/>
      <c r="I442" s="173"/>
      <c r="J442" s="173"/>
      <c r="K442" s="173"/>
    </row>
    <row r="443" spans="1:11" x14ac:dyDescent="0.2">
      <c r="A443" s="172">
        <v>36434</v>
      </c>
      <c r="B443" s="93">
        <v>872</v>
      </c>
      <c r="C443" s="93">
        <v>69</v>
      </c>
      <c r="D443" s="93">
        <v>189</v>
      </c>
      <c r="E443" s="93">
        <v>377</v>
      </c>
      <c r="F443" s="93">
        <v>237</v>
      </c>
      <c r="G443" s="173"/>
      <c r="H443" s="173"/>
      <c r="I443" s="173"/>
      <c r="J443" s="173"/>
      <c r="K443" s="173"/>
    </row>
    <row r="444" spans="1:11" x14ac:dyDescent="0.2">
      <c r="A444" s="172">
        <v>36465</v>
      </c>
      <c r="B444" s="93">
        <v>863</v>
      </c>
      <c r="C444" s="93">
        <v>63</v>
      </c>
      <c r="D444" s="93">
        <v>178</v>
      </c>
      <c r="E444" s="93">
        <v>378</v>
      </c>
      <c r="F444" s="93">
        <v>244</v>
      </c>
      <c r="G444" s="173"/>
      <c r="H444" s="173"/>
      <c r="I444" s="173"/>
      <c r="J444" s="173"/>
      <c r="K444" s="173"/>
    </row>
    <row r="445" spans="1:11" x14ac:dyDescent="0.2">
      <c r="A445" s="172">
        <v>36495</v>
      </c>
      <c r="B445" s="93">
        <v>873</v>
      </c>
      <c r="C445" s="93">
        <v>83</v>
      </c>
      <c r="D445" s="93">
        <v>148</v>
      </c>
      <c r="E445" s="93">
        <v>393</v>
      </c>
      <c r="F445" s="93">
        <v>249</v>
      </c>
      <c r="G445" s="173"/>
      <c r="H445" s="173"/>
      <c r="I445" s="173"/>
      <c r="J445" s="173"/>
      <c r="K445" s="173"/>
    </row>
    <row r="446" spans="1:11" x14ac:dyDescent="0.2">
      <c r="A446" s="172">
        <v>36526</v>
      </c>
      <c r="B446" s="93">
        <v>873</v>
      </c>
      <c r="C446" s="93">
        <v>76</v>
      </c>
      <c r="D446" s="93">
        <v>145</v>
      </c>
      <c r="E446" s="93">
        <v>397</v>
      </c>
      <c r="F446" s="93">
        <v>255</v>
      </c>
      <c r="G446" s="173"/>
      <c r="H446" s="173"/>
      <c r="I446" s="173"/>
      <c r="J446" s="173"/>
      <c r="K446" s="173"/>
    </row>
    <row r="447" spans="1:11" x14ac:dyDescent="0.2">
      <c r="A447" s="172">
        <v>36557</v>
      </c>
      <c r="B447" s="93">
        <v>856</v>
      </c>
      <c r="C447" s="93">
        <v>70</v>
      </c>
      <c r="D447" s="93">
        <v>163</v>
      </c>
      <c r="E447" s="93">
        <v>401</v>
      </c>
      <c r="F447" s="93">
        <v>222</v>
      </c>
      <c r="G447" s="173"/>
      <c r="H447" s="173"/>
      <c r="I447" s="173"/>
      <c r="J447" s="173"/>
      <c r="K447" s="173"/>
    </row>
    <row r="448" spans="1:11" x14ac:dyDescent="0.2">
      <c r="A448" s="172">
        <v>36586</v>
      </c>
      <c r="B448" s="93">
        <v>900</v>
      </c>
      <c r="C448" s="93">
        <v>75</v>
      </c>
      <c r="D448" s="93">
        <v>169</v>
      </c>
      <c r="E448" s="93">
        <v>395</v>
      </c>
      <c r="F448" s="93">
        <v>261</v>
      </c>
      <c r="G448" s="173"/>
      <c r="H448" s="173"/>
      <c r="I448" s="173"/>
      <c r="J448" s="173"/>
      <c r="K448" s="173"/>
    </row>
    <row r="449" spans="1:11" x14ac:dyDescent="0.2">
      <c r="A449" s="172">
        <v>36617</v>
      </c>
      <c r="B449" s="93">
        <v>841</v>
      </c>
      <c r="C449" s="93">
        <v>75</v>
      </c>
      <c r="D449" s="93">
        <v>138</v>
      </c>
      <c r="E449" s="93">
        <v>399</v>
      </c>
      <c r="F449" s="93">
        <v>229</v>
      </c>
      <c r="G449" s="173"/>
      <c r="H449" s="173"/>
      <c r="I449" s="173"/>
      <c r="J449" s="173"/>
      <c r="K449" s="173"/>
    </row>
    <row r="450" spans="1:11" x14ac:dyDescent="0.2">
      <c r="A450" s="172">
        <v>36647</v>
      </c>
      <c r="B450" s="93">
        <v>857</v>
      </c>
      <c r="C450" s="93">
        <v>70</v>
      </c>
      <c r="D450" s="93">
        <v>151</v>
      </c>
      <c r="E450" s="93">
        <v>408</v>
      </c>
      <c r="F450" s="93">
        <v>228</v>
      </c>
      <c r="G450" s="173"/>
      <c r="H450" s="173"/>
      <c r="I450" s="173"/>
      <c r="J450" s="173"/>
      <c r="K450" s="173"/>
    </row>
    <row r="451" spans="1:11" x14ac:dyDescent="0.2">
      <c r="A451" s="172">
        <v>36678</v>
      </c>
      <c r="B451" s="93">
        <v>793</v>
      </c>
      <c r="C451" s="93">
        <v>73</v>
      </c>
      <c r="D451" s="93">
        <v>147</v>
      </c>
      <c r="E451" s="93">
        <v>380</v>
      </c>
      <c r="F451" s="93">
        <v>193</v>
      </c>
      <c r="G451" s="173"/>
      <c r="H451" s="173"/>
      <c r="I451" s="173"/>
      <c r="J451" s="173"/>
      <c r="K451" s="173"/>
    </row>
    <row r="452" spans="1:11" x14ac:dyDescent="0.2">
      <c r="A452" s="172">
        <v>36708</v>
      </c>
      <c r="B452" s="93">
        <v>887</v>
      </c>
      <c r="C452" s="93">
        <v>64</v>
      </c>
      <c r="D452" s="93">
        <v>170</v>
      </c>
      <c r="E452" s="93">
        <v>402</v>
      </c>
      <c r="F452" s="93">
        <v>251</v>
      </c>
      <c r="G452" s="173"/>
      <c r="H452" s="173"/>
      <c r="I452" s="173"/>
      <c r="J452" s="173"/>
      <c r="K452" s="173"/>
    </row>
    <row r="453" spans="1:11" x14ac:dyDescent="0.2">
      <c r="A453" s="172">
        <v>36739</v>
      </c>
      <c r="B453" s="93">
        <v>848</v>
      </c>
      <c r="C453" s="93">
        <v>63</v>
      </c>
      <c r="D453" s="93">
        <v>144</v>
      </c>
      <c r="E453" s="93">
        <v>395</v>
      </c>
      <c r="F453" s="93">
        <v>246</v>
      </c>
      <c r="G453" s="173"/>
      <c r="H453" s="173"/>
      <c r="I453" s="173"/>
      <c r="J453" s="173"/>
      <c r="K453" s="173"/>
    </row>
    <row r="454" spans="1:11" x14ac:dyDescent="0.2">
      <c r="A454" s="172">
        <v>36770</v>
      </c>
      <c r="B454" s="93">
        <v>912</v>
      </c>
      <c r="C454" s="93">
        <v>69</v>
      </c>
      <c r="D454" s="93">
        <v>163</v>
      </c>
      <c r="E454" s="93">
        <v>421</v>
      </c>
      <c r="F454" s="93">
        <v>259</v>
      </c>
      <c r="G454" s="173"/>
      <c r="H454" s="173"/>
      <c r="I454" s="173"/>
      <c r="J454" s="173"/>
      <c r="K454" s="173"/>
    </row>
    <row r="455" spans="1:11" x14ac:dyDescent="0.2">
      <c r="A455" s="172">
        <v>36800</v>
      </c>
      <c r="B455" s="93">
        <v>933</v>
      </c>
      <c r="C455" s="93">
        <v>87</v>
      </c>
      <c r="D455" s="93">
        <v>161</v>
      </c>
      <c r="E455" s="93">
        <v>420</v>
      </c>
      <c r="F455" s="93">
        <v>265</v>
      </c>
      <c r="G455" s="173"/>
      <c r="H455" s="173"/>
      <c r="I455" s="173"/>
      <c r="J455" s="173"/>
      <c r="K455" s="173"/>
    </row>
    <row r="456" spans="1:11" x14ac:dyDescent="0.2">
      <c r="A456" s="172">
        <v>36831</v>
      </c>
      <c r="B456" s="93">
        <v>880</v>
      </c>
      <c r="C456" s="93">
        <v>68</v>
      </c>
      <c r="D456" s="93">
        <v>146</v>
      </c>
      <c r="E456" s="93">
        <v>418</v>
      </c>
      <c r="F456" s="93">
        <v>248</v>
      </c>
      <c r="G456" s="173"/>
      <c r="H456" s="173"/>
      <c r="I456" s="173"/>
      <c r="J456" s="173"/>
      <c r="K456" s="173"/>
    </row>
    <row r="457" spans="1:11" x14ac:dyDescent="0.2">
      <c r="A457" s="172">
        <v>36861</v>
      </c>
      <c r="B457" s="93">
        <v>983</v>
      </c>
      <c r="C457" s="93">
        <v>65</v>
      </c>
      <c r="D457" s="93">
        <v>173</v>
      </c>
      <c r="E457" s="93">
        <v>449</v>
      </c>
      <c r="F457" s="93">
        <v>296</v>
      </c>
      <c r="G457" s="173"/>
      <c r="H457" s="173"/>
      <c r="I457" s="173"/>
      <c r="J457" s="173"/>
      <c r="K457" s="173"/>
    </row>
    <row r="458" spans="1:11" x14ac:dyDescent="0.2">
      <c r="A458" s="172">
        <v>36892</v>
      </c>
      <c r="B458" s="93">
        <v>936</v>
      </c>
      <c r="C458" s="93">
        <v>56</v>
      </c>
      <c r="D458" s="93">
        <v>171</v>
      </c>
      <c r="E458" s="93">
        <v>435</v>
      </c>
      <c r="F458" s="93">
        <v>274</v>
      </c>
      <c r="G458" s="173"/>
      <c r="H458" s="173"/>
      <c r="I458" s="173"/>
      <c r="J458" s="173"/>
      <c r="K458" s="173"/>
    </row>
    <row r="459" spans="1:11" x14ac:dyDescent="0.2">
      <c r="A459" s="172">
        <v>36923</v>
      </c>
      <c r="B459" s="93">
        <v>963</v>
      </c>
      <c r="C459" s="93">
        <v>70</v>
      </c>
      <c r="D459" s="93">
        <v>168</v>
      </c>
      <c r="E459" s="93">
        <v>447</v>
      </c>
      <c r="F459" s="93">
        <v>278</v>
      </c>
      <c r="G459" s="173"/>
      <c r="H459" s="173"/>
      <c r="I459" s="173"/>
      <c r="J459" s="173"/>
      <c r="K459" s="173"/>
    </row>
    <row r="460" spans="1:11" x14ac:dyDescent="0.2">
      <c r="A460" s="172">
        <v>36951</v>
      </c>
      <c r="B460" s="93">
        <v>939</v>
      </c>
      <c r="C460" s="93">
        <v>75</v>
      </c>
      <c r="D460" s="93">
        <v>189</v>
      </c>
      <c r="E460" s="93">
        <v>439</v>
      </c>
      <c r="F460" s="93">
        <v>236</v>
      </c>
      <c r="G460" s="173"/>
      <c r="H460" s="173"/>
      <c r="I460" s="173"/>
      <c r="J460" s="173"/>
      <c r="K460" s="173"/>
    </row>
    <row r="461" spans="1:11" x14ac:dyDescent="0.2">
      <c r="A461" s="172">
        <v>36982</v>
      </c>
      <c r="B461" s="93">
        <v>909</v>
      </c>
      <c r="C461" s="93">
        <v>70</v>
      </c>
      <c r="D461" s="93">
        <v>163</v>
      </c>
      <c r="E461" s="93">
        <v>436</v>
      </c>
      <c r="F461" s="93">
        <v>240</v>
      </c>
      <c r="G461" s="173"/>
      <c r="H461" s="173"/>
      <c r="I461" s="173"/>
      <c r="J461" s="173"/>
      <c r="K461" s="173"/>
    </row>
    <row r="462" spans="1:11" x14ac:dyDescent="0.2">
      <c r="A462" s="172">
        <v>37012</v>
      </c>
      <c r="B462" s="93">
        <v>885</v>
      </c>
      <c r="C462" s="93">
        <v>55</v>
      </c>
      <c r="D462" s="93">
        <v>152</v>
      </c>
      <c r="E462" s="93">
        <v>444</v>
      </c>
      <c r="F462" s="93">
        <v>234</v>
      </c>
      <c r="G462" s="173"/>
      <c r="H462" s="173"/>
      <c r="I462" s="173"/>
      <c r="J462" s="173"/>
      <c r="K462" s="173"/>
    </row>
    <row r="463" spans="1:11" x14ac:dyDescent="0.2">
      <c r="A463" s="172">
        <v>37043</v>
      </c>
      <c r="B463" s="93">
        <v>882</v>
      </c>
      <c r="C463" s="93">
        <v>61</v>
      </c>
      <c r="D463" s="93">
        <v>171</v>
      </c>
      <c r="E463" s="93">
        <v>415</v>
      </c>
      <c r="F463" s="93">
        <v>235</v>
      </c>
      <c r="G463" s="173"/>
      <c r="H463" s="173"/>
      <c r="I463" s="173"/>
      <c r="J463" s="173"/>
      <c r="K463" s="173"/>
    </row>
    <row r="464" spans="1:11" x14ac:dyDescent="0.2">
      <c r="A464" s="172">
        <v>37073</v>
      </c>
      <c r="B464" s="93">
        <v>880</v>
      </c>
      <c r="C464" s="93">
        <v>72</v>
      </c>
      <c r="D464" s="93">
        <v>154</v>
      </c>
      <c r="E464" s="93">
        <v>424</v>
      </c>
      <c r="F464" s="93">
        <v>230</v>
      </c>
      <c r="G464" s="173"/>
      <c r="H464" s="173"/>
      <c r="I464" s="173"/>
      <c r="J464" s="173"/>
      <c r="K464" s="173"/>
    </row>
    <row r="465" spans="1:11" x14ac:dyDescent="0.2">
      <c r="A465" s="172">
        <v>37104</v>
      </c>
      <c r="B465" s="93">
        <v>866</v>
      </c>
      <c r="C465" s="93">
        <v>65</v>
      </c>
      <c r="D465" s="93">
        <v>147</v>
      </c>
      <c r="E465" s="93">
        <v>423</v>
      </c>
      <c r="F465" s="93">
        <v>231</v>
      </c>
      <c r="G465" s="173"/>
      <c r="H465" s="173"/>
      <c r="I465" s="173"/>
      <c r="J465" s="173"/>
      <c r="K465" s="173"/>
    </row>
    <row r="466" spans="1:11" x14ac:dyDescent="0.2">
      <c r="A466" s="172">
        <v>37135</v>
      </c>
      <c r="B466" s="93">
        <v>853</v>
      </c>
      <c r="C466" s="93">
        <v>51</v>
      </c>
      <c r="D466" s="93">
        <v>161</v>
      </c>
      <c r="E466" s="93">
        <v>429</v>
      </c>
      <c r="F466" s="93">
        <v>212</v>
      </c>
      <c r="G466" s="173"/>
      <c r="H466" s="173"/>
      <c r="I466" s="173"/>
      <c r="J466" s="173"/>
      <c r="K466" s="173"/>
    </row>
    <row r="467" spans="1:11" x14ac:dyDescent="0.2">
      <c r="A467" s="172">
        <v>37165</v>
      </c>
      <c r="B467" s="93">
        <v>871</v>
      </c>
      <c r="C467" s="93">
        <v>67</v>
      </c>
      <c r="D467" s="93">
        <v>153</v>
      </c>
      <c r="E467" s="93">
        <v>440</v>
      </c>
      <c r="F467" s="93">
        <v>211</v>
      </c>
      <c r="G467" s="173"/>
      <c r="H467" s="173"/>
      <c r="I467" s="173"/>
      <c r="J467" s="173"/>
      <c r="K467" s="173"/>
    </row>
    <row r="468" spans="1:11" x14ac:dyDescent="0.2">
      <c r="A468" s="172">
        <v>37196</v>
      </c>
      <c r="B468" s="93">
        <v>924</v>
      </c>
      <c r="C468" s="93">
        <v>70</v>
      </c>
      <c r="D468" s="93">
        <v>171</v>
      </c>
      <c r="E468" s="93">
        <v>472</v>
      </c>
      <c r="F468" s="93">
        <v>211</v>
      </c>
      <c r="G468" s="173"/>
      <c r="H468" s="173"/>
      <c r="I468" s="173"/>
      <c r="J468" s="173"/>
      <c r="K468" s="173"/>
    </row>
    <row r="469" spans="1:11" x14ac:dyDescent="0.2">
      <c r="A469" s="172">
        <v>37226</v>
      </c>
      <c r="B469" s="93">
        <v>979</v>
      </c>
      <c r="C469" s="93">
        <v>73</v>
      </c>
      <c r="D469" s="93">
        <v>162</v>
      </c>
      <c r="E469" s="93">
        <v>464</v>
      </c>
      <c r="F469" s="93">
        <v>280</v>
      </c>
      <c r="G469" s="173"/>
      <c r="H469" s="173"/>
      <c r="I469" s="173"/>
      <c r="J469" s="173"/>
      <c r="K469" s="173"/>
    </row>
    <row r="470" spans="1:11" x14ac:dyDescent="0.2">
      <c r="A470" s="172">
        <v>37257</v>
      </c>
      <c r="B470" s="93">
        <v>880</v>
      </c>
      <c r="C470" s="93">
        <v>67</v>
      </c>
      <c r="D470" s="93">
        <v>180</v>
      </c>
      <c r="E470" s="93">
        <v>399</v>
      </c>
      <c r="F470" s="93">
        <v>234</v>
      </c>
      <c r="G470" s="173"/>
      <c r="H470" s="173"/>
      <c r="I470" s="173"/>
      <c r="J470" s="173"/>
      <c r="K470" s="173"/>
    </row>
    <row r="471" spans="1:11" x14ac:dyDescent="0.2">
      <c r="A471" s="172">
        <v>37288</v>
      </c>
      <c r="B471" s="93">
        <v>948</v>
      </c>
      <c r="C471" s="93">
        <v>66</v>
      </c>
      <c r="D471" s="93">
        <v>173</v>
      </c>
      <c r="E471" s="93">
        <v>450</v>
      </c>
      <c r="F471" s="93">
        <v>259</v>
      </c>
      <c r="G471" s="173"/>
      <c r="H471" s="173"/>
      <c r="I471" s="173"/>
      <c r="J471" s="173"/>
      <c r="K471" s="173"/>
    </row>
    <row r="472" spans="1:11" x14ac:dyDescent="0.2">
      <c r="A472" s="172">
        <v>37316</v>
      </c>
      <c r="B472" s="93">
        <v>923</v>
      </c>
      <c r="C472" s="93">
        <v>65</v>
      </c>
      <c r="D472" s="93">
        <v>154</v>
      </c>
      <c r="E472" s="93">
        <v>430</v>
      </c>
      <c r="F472" s="93">
        <v>274</v>
      </c>
      <c r="G472" s="173"/>
      <c r="H472" s="173"/>
      <c r="I472" s="173"/>
      <c r="J472" s="173"/>
      <c r="K472" s="173"/>
    </row>
    <row r="473" spans="1:11" x14ac:dyDescent="0.2">
      <c r="A473" s="172">
        <v>37347</v>
      </c>
      <c r="B473" s="93">
        <v>936</v>
      </c>
      <c r="C473" s="93">
        <v>58</v>
      </c>
      <c r="D473" s="93">
        <v>171</v>
      </c>
      <c r="E473" s="93">
        <v>438</v>
      </c>
      <c r="F473" s="93">
        <v>269</v>
      </c>
      <c r="G473" s="173"/>
      <c r="H473" s="173"/>
      <c r="I473" s="173"/>
      <c r="J473" s="173"/>
      <c r="K473" s="173"/>
    </row>
    <row r="474" spans="1:11" x14ac:dyDescent="0.2">
      <c r="A474" s="172">
        <v>37377</v>
      </c>
      <c r="B474" s="93">
        <v>978</v>
      </c>
      <c r="C474" s="93">
        <v>70</v>
      </c>
      <c r="D474" s="93">
        <v>183</v>
      </c>
      <c r="E474" s="93">
        <v>442</v>
      </c>
      <c r="F474" s="93">
        <v>283</v>
      </c>
      <c r="G474" s="173"/>
      <c r="H474" s="173"/>
      <c r="I474" s="173"/>
      <c r="J474" s="173"/>
      <c r="K474" s="173"/>
    </row>
    <row r="475" spans="1:11" x14ac:dyDescent="0.2">
      <c r="A475" s="172">
        <v>37408</v>
      </c>
      <c r="B475" s="93">
        <v>957</v>
      </c>
      <c r="C475" s="93">
        <v>71</v>
      </c>
      <c r="D475" s="93">
        <v>158</v>
      </c>
      <c r="E475" s="93">
        <v>442</v>
      </c>
      <c r="F475" s="93">
        <v>286</v>
      </c>
      <c r="G475" s="173"/>
      <c r="H475" s="173"/>
      <c r="I475" s="173"/>
      <c r="J475" s="173"/>
      <c r="K475" s="173"/>
    </row>
    <row r="476" spans="1:11" x14ac:dyDescent="0.2">
      <c r="A476" s="172">
        <v>37438</v>
      </c>
      <c r="B476" s="93">
        <v>956</v>
      </c>
      <c r="C476" s="93">
        <v>63</v>
      </c>
      <c r="D476" s="93">
        <v>186</v>
      </c>
      <c r="E476" s="93">
        <v>456</v>
      </c>
      <c r="F476" s="93">
        <v>251</v>
      </c>
      <c r="G476" s="173"/>
      <c r="H476" s="173"/>
      <c r="I476" s="173"/>
      <c r="J476" s="173"/>
      <c r="K476" s="173"/>
    </row>
    <row r="477" spans="1:11" x14ac:dyDescent="0.2">
      <c r="A477" s="172">
        <v>37469</v>
      </c>
      <c r="B477" s="93">
        <v>1014</v>
      </c>
      <c r="C477" s="93">
        <v>55</v>
      </c>
      <c r="D477" s="93">
        <v>205</v>
      </c>
      <c r="E477" s="93">
        <v>471</v>
      </c>
      <c r="F477" s="93">
        <v>283</v>
      </c>
      <c r="G477" s="173"/>
      <c r="H477" s="173"/>
      <c r="I477" s="173"/>
      <c r="J477" s="173"/>
      <c r="K477" s="173"/>
    </row>
    <row r="478" spans="1:11" x14ac:dyDescent="0.2">
      <c r="A478" s="172">
        <v>37500</v>
      </c>
      <c r="B478" s="93">
        <v>1044</v>
      </c>
      <c r="C478" s="93">
        <v>83</v>
      </c>
      <c r="D478" s="93">
        <v>197</v>
      </c>
      <c r="E478" s="93">
        <v>488</v>
      </c>
      <c r="F478" s="93">
        <v>276</v>
      </c>
      <c r="G478" s="173"/>
      <c r="H478" s="173"/>
      <c r="I478" s="173"/>
      <c r="J478" s="173"/>
      <c r="K478" s="173"/>
    </row>
    <row r="479" spans="1:11" x14ac:dyDescent="0.2">
      <c r="A479" s="172">
        <v>37530</v>
      </c>
      <c r="B479" s="93">
        <v>1006</v>
      </c>
      <c r="C479" s="93">
        <v>61</v>
      </c>
      <c r="D479" s="93">
        <v>182</v>
      </c>
      <c r="E479" s="93">
        <v>465</v>
      </c>
      <c r="F479" s="93">
        <v>298</v>
      </c>
      <c r="G479" s="173"/>
      <c r="H479" s="173"/>
      <c r="I479" s="173"/>
      <c r="J479" s="173"/>
      <c r="K479" s="173"/>
    </row>
    <row r="480" spans="1:11" x14ac:dyDescent="0.2">
      <c r="A480" s="172">
        <v>37561</v>
      </c>
      <c r="B480" s="93">
        <v>1024</v>
      </c>
      <c r="C480" s="93">
        <v>63</v>
      </c>
      <c r="D480" s="93">
        <v>217</v>
      </c>
      <c r="E480" s="93">
        <v>454</v>
      </c>
      <c r="F480" s="93">
        <v>290</v>
      </c>
      <c r="G480" s="173"/>
      <c r="H480" s="173"/>
      <c r="I480" s="173"/>
      <c r="J480" s="173"/>
      <c r="K480" s="173"/>
    </row>
    <row r="481" spans="1:11" x14ac:dyDescent="0.2">
      <c r="A481" s="172">
        <v>37591</v>
      </c>
      <c r="B481" s="93">
        <v>1048</v>
      </c>
      <c r="C481" s="93">
        <v>55</v>
      </c>
      <c r="D481" s="93">
        <v>255</v>
      </c>
      <c r="E481" s="93">
        <v>470</v>
      </c>
      <c r="F481" s="93">
        <v>268</v>
      </c>
      <c r="G481" s="173"/>
      <c r="H481" s="173"/>
      <c r="I481" s="173"/>
      <c r="J481" s="173"/>
      <c r="K481" s="173"/>
    </row>
    <row r="482" spans="1:11" x14ac:dyDescent="0.2">
      <c r="A482" s="172">
        <v>37622</v>
      </c>
      <c r="B482" s="93">
        <v>999</v>
      </c>
      <c r="C482" s="93">
        <v>77</v>
      </c>
      <c r="D482" s="93">
        <v>179</v>
      </c>
      <c r="E482" s="93">
        <v>459</v>
      </c>
      <c r="F482" s="93">
        <v>284</v>
      </c>
      <c r="G482" s="173"/>
      <c r="H482" s="173"/>
      <c r="I482" s="173"/>
      <c r="J482" s="173"/>
      <c r="K482" s="173"/>
    </row>
    <row r="483" spans="1:11" x14ac:dyDescent="0.2">
      <c r="A483" s="172">
        <v>37653</v>
      </c>
      <c r="B483" s="93">
        <v>936</v>
      </c>
      <c r="C483" s="93">
        <v>49</v>
      </c>
      <c r="D483" s="93">
        <v>183</v>
      </c>
      <c r="E483" s="93">
        <v>447</v>
      </c>
      <c r="F483" s="93">
        <v>257</v>
      </c>
      <c r="G483" s="173"/>
      <c r="H483" s="173"/>
      <c r="I483" s="173"/>
      <c r="J483" s="173"/>
      <c r="K483" s="173"/>
    </row>
    <row r="484" spans="1:11" x14ac:dyDescent="0.2">
      <c r="A484" s="172">
        <v>37681</v>
      </c>
      <c r="B484" s="93">
        <v>999</v>
      </c>
      <c r="C484" s="93">
        <v>92</v>
      </c>
      <c r="D484" s="93">
        <v>170</v>
      </c>
      <c r="E484" s="93">
        <v>487</v>
      </c>
      <c r="F484" s="93">
        <v>250</v>
      </c>
      <c r="G484" s="173"/>
      <c r="H484" s="173"/>
      <c r="I484" s="173"/>
      <c r="J484" s="173"/>
      <c r="K484" s="173"/>
    </row>
    <row r="485" spans="1:11" x14ac:dyDescent="0.2">
      <c r="A485" s="172">
        <v>37712</v>
      </c>
      <c r="B485" s="93">
        <v>1012</v>
      </c>
      <c r="C485" s="93">
        <v>75</v>
      </c>
      <c r="D485" s="93">
        <v>175</v>
      </c>
      <c r="E485" s="93">
        <v>473</v>
      </c>
      <c r="F485" s="93">
        <v>289</v>
      </c>
      <c r="G485" s="173"/>
      <c r="H485" s="173"/>
      <c r="I485" s="173"/>
      <c r="J485" s="173"/>
      <c r="K485" s="173"/>
    </row>
    <row r="486" spans="1:11" x14ac:dyDescent="0.2">
      <c r="A486" s="172">
        <v>37742</v>
      </c>
      <c r="B486" s="93">
        <v>1078</v>
      </c>
      <c r="C486" s="93">
        <v>72</v>
      </c>
      <c r="D486" s="93">
        <v>165</v>
      </c>
      <c r="E486" s="93">
        <v>519</v>
      </c>
      <c r="F486" s="93">
        <v>322</v>
      </c>
      <c r="G486" s="173"/>
      <c r="H486" s="173"/>
      <c r="I486" s="173"/>
      <c r="J486" s="173"/>
      <c r="K486" s="173"/>
    </row>
    <row r="487" spans="1:11" x14ac:dyDescent="0.2">
      <c r="A487" s="172">
        <v>37773</v>
      </c>
      <c r="B487" s="93">
        <v>1193</v>
      </c>
      <c r="C487" s="93">
        <v>77</v>
      </c>
      <c r="D487" s="93">
        <v>196</v>
      </c>
      <c r="E487" s="93">
        <v>549</v>
      </c>
      <c r="F487" s="93">
        <v>371</v>
      </c>
      <c r="G487" s="173"/>
      <c r="H487" s="173"/>
      <c r="I487" s="173"/>
      <c r="J487" s="173"/>
      <c r="K487" s="173"/>
    </row>
    <row r="488" spans="1:11" x14ac:dyDescent="0.2">
      <c r="A488" s="172">
        <v>37803</v>
      </c>
      <c r="B488" s="93">
        <v>1168</v>
      </c>
      <c r="C488" s="93">
        <v>83</v>
      </c>
      <c r="D488" s="93">
        <v>218</v>
      </c>
      <c r="E488" s="93">
        <v>557</v>
      </c>
      <c r="F488" s="93">
        <v>310</v>
      </c>
      <c r="G488" s="173"/>
      <c r="H488" s="173"/>
      <c r="I488" s="173"/>
      <c r="J488" s="173"/>
      <c r="K488" s="173"/>
    </row>
    <row r="489" spans="1:11" x14ac:dyDescent="0.2">
      <c r="A489" s="172">
        <v>37834</v>
      </c>
      <c r="B489" s="93">
        <v>1206</v>
      </c>
      <c r="C489" s="93">
        <v>78</v>
      </c>
      <c r="D489" s="93">
        <v>256</v>
      </c>
      <c r="E489" s="93">
        <v>558</v>
      </c>
      <c r="F489" s="93">
        <v>314</v>
      </c>
      <c r="G489" s="173"/>
      <c r="H489" s="173"/>
      <c r="I489" s="173"/>
      <c r="J489" s="173"/>
      <c r="K489" s="173"/>
    </row>
    <row r="490" spans="1:11" x14ac:dyDescent="0.2">
      <c r="A490" s="172">
        <v>37865</v>
      </c>
      <c r="B490" s="93">
        <v>1131</v>
      </c>
      <c r="C490" s="93">
        <v>88</v>
      </c>
      <c r="D490" s="93">
        <v>192</v>
      </c>
      <c r="E490" s="93">
        <v>523</v>
      </c>
      <c r="F490" s="93">
        <v>328</v>
      </c>
      <c r="G490" s="173"/>
      <c r="H490" s="173"/>
      <c r="I490" s="173"/>
      <c r="J490" s="173"/>
      <c r="K490" s="173"/>
    </row>
    <row r="491" spans="1:11" x14ac:dyDescent="0.2">
      <c r="A491" s="172">
        <v>37895</v>
      </c>
      <c r="B491" s="93">
        <v>1144</v>
      </c>
      <c r="C491" s="93">
        <v>84</v>
      </c>
      <c r="D491" s="93">
        <v>195</v>
      </c>
      <c r="E491" s="93">
        <v>547</v>
      </c>
      <c r="F491" s="93">
        <v>318</v>
      </c>
      <c r="G491" s="173"/>
      <c r="H491" s="173"/>
      <c r="I491" s="173"/>
      <c r="J491" s="173"/>
      <c r="K491" s="173"/>
    </row>
    <row r="492" spans="1:11" x14ac:dyDescent="0.2">
      <c r="A492" s="172">
        <v>37926</v>
      </c>
      <c r="B492" s="93">
        <v>1093</v>
      </c>
      <c r="C492" s="93">
        <v>88</v>
      </c>
      <c r="D492" s="93">
        <v>156</v>
      </c>
      <c r="E492" s="93">
        <v>527</v>
      </c>
      <c r="F492" s="93">
        <v>322</v>
      </c>
      <c r="G492" s="173"/>
      <c r="H492" s="173"/>
      <c r="I492" s="173"/>
      <c r="J492" s="173"/>
      <c r="K492" s="173"/>
    </row>
    <row r="493" spans="1:11" x14ac:dyDescent="0.2">
      <c r="A493" s="172">
        <v>37956</v>
      </c>
      <c r="B493" s="93">
        <v>1129</v>
      </c>
      <c r="C493" s="93">
        <v>98</v>
      </c>
      <c r="D493" s="93">
        <v>180</v>
      </c>
      <c r="E493" s="93">
        <v>515</v>
      </c>
      <c r="F493" s="93">
        <v>336</v>
      </c>
      <c r="G493" s="173"/>
      <c r="H493" s="173"/>
      <c r="I493" s="173"/>
      <c r="J493" s="173"/>
      <c r="K493" s="173"/>
    </row>
    <row r="494" spans="1:11" x14ac:dyDescent="0.2">
      <c r="A494" s="172">
        <v>37987</v>
      </c>
      <c r="B494" s="93">
        <v>1165</v>
      </c>
      <c r="C494" s="93">
        <v>103</v>
      </c>
      <c r="D494" s="93">
        <v>225</v>
      </c>
      <c r="E494" s="93">
        <v>545</v>
      </c>
      <c r="F494" s="93">
        <v>292</v>
      </c>
      <c r="G494" s="173"/>
      <c r="H494" s="173"/>
      <c r="I494" s="173"/>
      <c r="J494" s="173"/>
      <c r="K494" s="173"/>
    </row>
    <row r="495" spans="1:11" x14ac:dyDescent="0.2">
      <c r="A495" s="172">
        <v>38018</v>
      </c>
      <c r="B495" s="93">
        <v>1159</v>
      </c>
      <c r="C495" s="93">
        <v>84</v>
      </c>
      <c r="D495" s="93">
        <v>192</v>
      </c>
      <c r="E495" s="93">
        <v>532</v>
      </c>
      <c r="F495" s="93">
        <v>351</v>
      </c>
      <c r="G495" s="173"/>
      <c r="H495" s="173"/>
      <c r="I495" s="173"/>
      <c r="J495" s="173"/>
      <c r="K495" s="173"/>
    </row>
    <row r="496" spans="1:11" x14ac:dyDescent="0.2">
      <c r="A496" s="172">
        <v>38047</v>
      </c>
      <c r="B496" s="93">
        <v>1276</v>
      </c>
      <c r="C496" s="93">
        <v>86</v>
      </c>
      <c r="D496" s="93">
        <v>196</v>
      </c>
      <c r="E496" s="93">
        <v>620</v>
      </c>
      <c r="F496" s="93">
        <v>374</v>
      </c>
      <c r="G496" s="173"/>
      <c r="H496" s="173"/>
      <c r="I496" s="173"/>
      <c r="J496" s="173"/>
      <c r="K496" s="173"/>
    </row>
    <row r="497" spans="1:11" x14ac:dyDescent="0.2">
      <c r="A497" s="172">
        <v>38078</v>
      </c>
      <c r="B497" s="93">
        <v>1186</v>
      </c>
      <c r="C497" s="93">
        <v>85</v>
      </c>
      <c r="D497" s="93">
        <v>212</v>
      </c>
      <c r="E497" s="93">
        <v>540</v>
      </c>
      <c r="F497" s="93">
        <v>349</v>
      </c>
      <c r="G497" s="173"/>
      <c r="H497" s="173"/>
      <c r="I497" s="173"/>
      <c r="J497" s="173"/>
      <c r="K497" s="173"/>
    </row>
    <row r="498" spans="1:11" x14ac:dyDescent="0.2">
      <c r="A498" s="172">
        <v>38108</v>
      </c>
      <c r="B498" s="93">
        <v>1241</v>
      </c>
      <c r="C498" s="93">
        <v>102</v>
      </c>
      <c r="D498" s="93">
        <v>206</v>
      </c>
      <c r="E498" s="93">
        <v>576</v>
      </c>
      <c r="F498" s="93">
        <v>357</v>
      </c>
      <c r="G498" s="173"/>
      <c r="H498" s="173"/>
      <c r="I498" s="173"/>
      <c r="J498" s="173"/>
      <c r="K498" s="173"/>
    </row>
    <row r="499" spans="1:11" x14ac:dyDescent="0.2">
      <c r="A499" s="172">
        <v>38139</v>
      </c>
      <c r="B499" s="93">
        <v>1180</v>
      </c>
      <c r="C499" s="93">
        <v>74</v>
      </c>
      <c r="D499" s="93">
        <v>192</v>
      </c>
      <c r="E499" s="93">
        <v>575</v>
      </c>
      <c r="F499" s="93">
        <v>339</v>
      </c>
      <c r="G499" s="173"/>
      <c r="H499" s="173"/>
      <c r="I499" s="173"/>
      <c r="J499" s="173"/>
      <c r="K499" s="173"/>
    </row>
    <row r="500" spans="1:11" x14ac:dyDescent="0.2">
      <c r="A500" s="172">
        <v>38169</v>
      </c>
      <c r="B500" s="93">
        <v>1088</v>
      </c>
      <c r="C500" s="93">
        <v>54</v>
      </c>
      <c r="D500" s="93">
        <v>219</v>
      </c>
      <c r="E500" s="93">
        <v>490</v>
      </c>
      <c r="F500" s="93">
        <v>325</v>
      </c>
      <c r="G500" s="173"/>
      <c r="H500" s="173"/>
      <c r="I500" s="173"/>
      <c r="J500" s="173"/>
      <c r="K500" s="173"/>
    </row>
    <row r="501" spans="1:11" x14ac:dyDescent="0.2">
      <c r="A501" s="172">
        <v>38200</v>
      </c>
      <c r="B501" s="93">
        <v>1175</v>
      </c>
      <c r="C501" s="93">
        <v>65</v>
      </c>
      <c r="D501" s="93">
        <v>220</v>
      </c>
      <c r="E501" s="93">
        <v>551</v>
      </c>
      <c r="F501" s="93">
        <v>339</v>
      </c>
      <c r="G501" s="173"/>
      <c r="H501" s="173"/>
      <c r="I501" s="173"/>
      <c r="J501" s="173"/>
      <c r="K501" s="173"/>
    </row>
    <row r="502" spans="1:11" x14ac:dyDescent="0.2">
      <c r="A502" s="172">
        <v>38231</v>
      </c>
      <c r="B502" s="93">
        <v>1214</v>
      </c>
      <c r="C502" s="93">
        <v>81</v>
      </c>
      <c r="D502" s="93">
        <v>222</v>
      </c>
      <c r="E502" s="93">
        <v>553</v>
      </c>
      <c r="F502" s="93">
        <v>358</v>
      </c>
      <c r="G502" s="173"/>
      <c r="H502" s="173"/>
      <c r="I502" s="173"/>
      <c r="J502" s="173"/>
      <c r="K502" s="173"/>
    </row>
    <row r="503" spans="1:11" x14ac:dyDescent="0.2">
      <c r="A503" s="172">
        <v>38261</v>
      </c>
      <c r="B503" s="93">
        <v>1305</v>
      </c>
      <c r="C503" s="93">
        <v>104</v>
      </c>
      <c r="D503" s="93">
        <v>249</v>
      </c>
      <c r="E503" s="93">
        <v>537</v>
      </c>
      <c r="F503" s="93">
        <v>415</v>
      </c>
      <c r="G503" s="173"/>
      <c r="H503" s="173"/>
      <c r="I503" s="173"/>
      <c r="J503" s="173"/>
      <c r="K503" s="173"/>
    </row>
    <row r="504" spans="1:11" x14ac:dyDescent="0.2">
      <c r="A504" s="172">
        <v>38292</v>
      </c>
      <c r="B504" s="93">
        <v>1179</v>
      </c>
      <c r="C504" s="93">
        <v>82</v>
      </c>
      <c r="D504" s="93">
        <v>159</v>
      </c>
      <c r="E504" s="93">
        <v>597</v>
      </c>
      <c r="F504" s="93">
        <v>341</v>
      </c>
      <c r="G504" s="173"/>
      <c r="H504" s="173"/>
      <c r="I504" s="173"/>
      <c r="J504" s="173"/>
      <c r="K504" s="173"/>
    </row>
    <row r="505" spans="1:11" x14ac:dyDescent="0.2">
      <c r="A505" s="172">
        <v>38322</v>
      </c>
      <c r="B505" s="93">
        <v>1242</v>
      </c>
      <c r="C505" s="93">
        <v>66</v>
      </c>
      <c r="D505" s="93">
        <v>240</v>
      </c>
      <c r="E505" s="93">
        <v>616</v>
      </c>
      <c r="F505" s="93">
        <v>320</v>
      </c>
      <c r="G505" s="173"/>
      <c r="H505" s="173"/>
      <c r="I505" s="173"/>
      <c r="J505" s="173"/>
      <c r="K505" s="173"/>
    </row>
    <row r="506" spans="1:11" x14ac:dyDescent="0.2">
      <c r="A506" s="172">
        <v>38353</v>
      </c>
      <c r="B506" s="93">
        <v>1203</v>
      </c>
      <c r="C506" s="93">
        <v>67</v>
      </c>
      <c r="D506" s="93">
        <v>186</v>
      </c>
      <c r="E506" s="93">
        <v>618</v>
      </c>
      <c r="F506" s="93">
        <v>332</v>
      </c>
      <c r="G506" s="173"/>
      <c r="H506" s="173"/>
      <c r="I506" s="173"/>
      <c r="J506" s="173"/>
      <c r="K506" s="173"/>
    </row>
    <row r="507" spans="1:11" x14ac:dyDescent="0.2">
      <c r="A507" s="172">
        <v>38384</v>
      </c>
      <c r="B507" s="93">
        <v>1319</v>
      </c>
      <c r="C507" s="93">
        <v>85</v>
      </c>
      <c r="D507" s="93">
        <v>183</v>
      </c>
      <c r="E507" s="93">
        <v>697</v>
      </c>
      <c r="F507" s="93">
        <v>354</v>
      </c>
      <c r="G507" s="173"/>
      <c r="H507" s="173"/>
      <c r="I507" s="173"/>
      <c r="J507" s="173"/>
      <c r="K507" s="173"/>
    </row>
    <row r="508" spans="1:11" x14ac:dyDescent="0.2">
      <c r="A508" s="172">
        <v>38412</v>
      </c>
      <c r="B508" s="93">
        <v>1328</v>
      </c>
      <c r="C508" s="93">
        <v>78</v>
      </c>
      <c r="D508" s="93">
        <v>215</v>
      </c>
      <c r="E508" s="93">
        <v>669</v>
      </c>
      <c r="F508" s="93">
        <v>366</v>
      </c>
      <c r="G508" s="173"/>
      <c r="H508" s="173"/>
      <c r="I508" s="173"/>
      <c r="J508" s="173"/>
      <c r="K508" s="173"/>
    </row>
    <row r="509" spans="1:11" x14ac:dyDescent="0.2">
      <c r="A509" s="172">
        <v>38443</v>
      </c>
      <c r="B509" s="93">
        <v>1260</v>
      </c>
      <c r="C509" s="93">
        <v>99</v>
      </c>
      <c r="D509" s="93">
        <v>210</v>
      </c>
      <c r="E509" s="93">
        <v>597</v>
      </c>
      <c r="F509" s="93">
        <v>354</v>
      </c>
      <c r="G509" s="173"/>
      <c r="H509" s="173"/>
      <c r="I509" s="173"/>
      <c r="J509" s="173"/>
      <c r="K509" s="173"/>
    </row>
    <row r="510" spans="1:11" x14ac:dyDescent="0.2">
      <c r="A510" s="172">
        <v>38473</v>
      </c>
      <c r="B510" s="93">
        <v>1286</v>
      </c>
      <c r="C510" s="93">
        <v>91</v>
      </c>
      <c r="D510" s="93">
        <v>237</v>
      </c>
      <c r="E510" s="93">
        <v>593</v>
      </c>
      <c r="F510" s="93">
        <v>365</v>
      </c>
      <c r="G510" s="173"/>
      <c r="H510" s="173"/>
      <c r="I510" s="173"/>
      <c r="J510" s="173"/>
      <c r="K510" s="173"/>
    </row>
    <row r="511" spans="1:11" x14ac:dyDescent="0.2">
      <c r="A511" s="172">
        <v>38504</v>
      </c>
      <c r="B511" s="93">
        <v>1274</v>
      </c>
      <c r="C511" s="93">
        <v>83</v>
      </c>
      <c r="D511" s="93">
        <v>231</v>
      </c>
      <c r="E511" s="93">
        <v>620</v>
      </c>
      <c r="F511" s="93">
        <v>340</v>
      </c>
      <c r="G511" s="173"/>
      <c r="H511" s="173"/>
      <c r="I511" s="173"/>
      <c r="J511" s="173"/>
      <c r="K511" s="173"/>
    </row>
    <row r="512" spans="1:11" x14ac:dyDescent="0.2">
      <c r="A512" s="172">
        <v>38534</v>
      </c>
      <c r="B512" s="93">
        <v>1389</v>
      </c>
      <c r="C512" s="93">
        <v>100</v>
      </c>
      <c r="D512" s="93">
        <v>208</v>
      </c>
      <c r="E512" s="93">
        <v>645</v>
      </c>
      <c r="F512" s="93">
        <v>436</v>
      </c>
      <c r="G512" s="173"/>
      <c r="H512" s="173"/>
      <c r="I512" s="173"/>
      <c r="J512" s="173"/>
      <c r="K512" s="173"/>
    </row>
    <row r="513" spans="1:11" x14ac:dyDescent="0.2">
      <c r="A513" s="172">
        <v>38565</v>
      </c>
      <c r="B513" s="93">
        <v>1255</v>
      </c>
      <c r="C513" s="93">
        <v>80</v>
      </c>
      <c r="D513" s="93">
        <v>195</v>
      </c>
      <c r="E513" s="93">
        <v>628</v>
      </c>
      <c r="F513" s="93">
        <v>352</v>
      </c>
      <c r="G513" s="173"/>
      <c r="H513" s="173"/>
      <c r="I513" s="173"/>
      <c r="J513" s="173"/>
      <c r="K513" s="173"/>
    </row>
    <row r="514" spans="1:11" x14ac:dyDescent="0.2">
      <c r="A514" s="172">
        <v>38596</v>
      </c>
      <c r="B514" s="93">
        <v>1244</v>
      </c>
      <c r="C514" s="93">
        <v>62</v>
      </c>
      <c r="D514" s="93">
        <v>215</v>
      </c>
      <c r="E514" s="93">
        <v>643</v>
      </c>
      <c r="F514" s="93">
        <v>324</v>
      </c>
      <c r="G514" s="173"/>
      <c r="H514" s="173"/>
      <c r="I514" s="173"/>
      <c r="J514" s="173"/>
      <c r="K514" s="173"/>
    </row>
    <row r="515" spans="1:11" x14ac:dyDescent="0.2">
      <c r="A515" s="172">
        <v>38626</v>
      </c>
      <c r="B515" s="93">
        <v>1336</v>
      </c>
      <c r="C515" s="93">
        <v>78</v>
      </c>
      <c r="D515" s="93">
        <v>186</v>
      </c>
      <c r="E515" s="93">
        <v>668</v>
      </c>
      <c r="F515" s="93">
        <v>404</v>
      </c>
      <c r="G515" s="173"/>
      <c r="H515" s="173"/>
      <c r="I515" s="173"/>
      <c r="J515" s="173"/>
      <c r="K515" s="173"/>
    </row>
    <row r="516" spans="1:11" x14ac:dyDescent="0.2">
      <c r="A516" s="172">
        <v>38657</v>
      </c>
      <c r="B516" s="93">
        <v>1214</v>
      </c>
      <c r="C516" s="93">
        <v>85</v>
      </c>
      <c r="D516" s="93">
        <v>171</v>
      </c>
      <c r="E516" s="93">
        <v>636</v>
      </c>
      <c r="F516" s="93">
        <v>322</v>
      </c>
      <c r="G516" s="173"/>
      <c r="H516" s="173"/>
      <c r="I516" s="173"/>
      <c r="J516" s="173"/>
      <c r="K516" s="173"/>
    </row>
    <row r="517" spans="1:11" x14ac:dyDescent="0.2">
      <c r="A517" s="172">
        <v>38687</v>
      </c>
      <c r="B517" s="93">
        <v>1239</v>
      </c>
      <c r="C517" s="93">
        <v>69</v>
      </c>
      <c r="D517" s="93">
        <v>201</v>
      </c>
      <c r="E517" s="93">
        <v>644</v>
      </c>
      <c r="F517" s="93">
        <v>325</v>
      </c>
      <c r="G517" s="173"/>
      <c r="H517" s="173"/>
      <c r="I517" s="173"/>
      <c r="J517" s="173"/>
      <c r="K517" s="173"/>
    </row>
    <row r="518" spans="1:11" x14ac:dyDescent="0.2">
      <c r="A518" s="172">
        <v>38718</v>
      </c>
      <c r="B518" s="93">
        <v>1174</v>
      </c>
      <c r="C518" s="93">
        <v>65</v>
      </c>
      <c r="D518" s="93">
        <v>174</v>
      </c>
      <c r="E518" s="93">
        <v>600</v>
      </c>
      <c r="F518" s="93">
        <v>335</v>
      </c>
      <c r="G518" s="173"/>
      <c r="H518" s="173"/>
      <c r="I518" s="173"/>
      <c r="J518" s="173"/>
      <c r="K518" s="173"/>
    </row>
    <row r="519" spans="1:11" x14ac:dyDescent="0.2">
      <c r="A519" s="172">
        <v>38749</v>
      </c>
      <c r="B519" s="93">
        <v>1061</v>
      </c>
      <c r="C519" s="93">
        <v>65</v>
      </c>
      <c r="D519" s="93">
        <v>187</v>
      </c>
      <c r="E519" s="93">
        <v>562</v>
      </c>
      <c r="F519" s="93">
        <v>247</v>
      </c>
      <c r="G519" s="173"/>
      <c r="H519" s="173"/>
      <c r="I519" s="173"/>
      <c r="J519" s="173"/>
      <c r="K519" s="173"/>
    </row>
    <row r="520" spans="1:11" x14ac:dyDescent="0.2">
      <c r="A520" s="172">
        <v>38777</v>
      </c>
      <c r="B520" s="93">
        <v>1116</v>
      </c>
      <c r="C520" s="93">
        <v>59</v>
      </c>
      <c r="D520" s="93">
        <v>168</v>
      </c>
      <c r="E520" s="93">
        <v>584</v>
      </c>
      <c r="F520" s="93">
        <v>305</v>
      </c>
      <c r="G520" s="173"/>
      <c r="H520" s="173"/>
      <c r="I520" s="173"/>
      <c r="J520" s="173"/>
      <c r="K520" s="173"/>
    </row>
    <row r="521" spans="1:11" x14ac:dyDescent="0.2">
      <c r="A521" s="172">
        <v>38808</v>
      </c>
      <c r="B521" s="93">
        <v>1123</v>
      </c>
      <c r="C521" s="93">
        <v>56</v>
      </c>
      <c r="D521" s="93">
        <v>168</v>
      </c>
      <c r="E521" s="93">
        <v>609</v>
      </c>
      <c r="F521" s="93">
        <v>290</v>
      </c>
      <c r="G521" s="173"/>
      <c r="H521" s="173"/>
      <c r="I521" s="173"/>
      <c r="J521" s="173"/>
      <c r="K521" s="173"/>
    </row>
    <row r="522" spans="1:11" x14ac:dyDescent="0.2">
      <c r="A522" s="172">
        <v>38838</v>
      </c>
      <c r="B522" s="93">
        <v>1086</v>
      </c>
      <c r="C522" s="93">
        <v>65</v>
      </c>
      <c r="D522" s="93">
        <v>177</v>
      </c>
      <c r="E522" s="93">
        <v>581</v>
      </c>
      <c r="F522" s="93">
        <v>263</v>
      </c>
      <c r="G522" s="173"/>
      <c r="H522" s="173"/>
      <c r="I522" s="173"/>
      <c r="J522" s="173"/>
      <c r="K522" s="173"/>
    </row>
    <row r="523" spans="1:11" x14ac:dyDescent="0.2">
      <c r="A523" s="172">
        <v>38869</v>
      </c>
      <c r="B523" s="93">
        <v>1074</v>
      </c>
      <c r="C523" s="93">
        <v>63</v>
      </c>
      <c r="D523" s="93">
        <v>172</v>
      </c>
      <c r="E523" s="93">
        <v>561</v>
      </c>
      <c r="F523" s="93">
        <v>278</v>
      </c>
      <c r="G523" s="173"/>
      <c r="H523" s="173"/>
      <c r="I523" s="173"/>
      <c r="J523" s="173"/>
      <c r="K523" s="173"/>
    </row>
    <row r="524" spans="1:11" x14ac:dyDescent="0.2">
      <c r="A524" s="172">
        <v>38899</v>
      </c>
      <c r="B524" s="93">
        <v>965</v>
      </c>
      <c r="C524" s="93">
        <v>63</v>
      </c>
      <c r="D524" s="93">
        <v>140</v>
      </c>
      <c r="E524" s="93">
        <v>499</v>
      </c>
      <c r="F524" s="93">
        <v>263</v>
      </c>
      <c r="G524" s="173"/>
      <c r="H524" s="173"/>
      <c r="I524" s="173"/>
      <c r="J524" s="173"/>
      <c r="K524" s="173"/>
    </row>
    <row r="525" spans="1:11" x14ac:dyDescent="0.2">
      <c r="A525" s="172">
        <v>38930</v>
      </c>
      <c r="B525" s="93">
        <v>1035</v>
      </c>
      <c r="C525" s="93">
        <v>88</v>
      </c>
      <c r="D525" s="93">
        <v>152</v>
      </c>
      <c r="E525" s="93">
        <v>577</v>
      </c>
      <c r="F525" s="93">
        <v>218</v>
      </c>
      <c r="G525" s="173"/>
      <c r="H525" s="173"/>
      <c r="I525" s="173"/>
      <c r="J525" s="173"/>
      <c r="K525" s="173"/>
    </row>
    <row r="526" spans="1:11" x14ac:dyDescent="0.2">
      <c r="A526" s="172">
        <v>38961</v>
      </c>
      <c r="B526" s="93">
        <v>1016</v>
      </c>
      <c r="C526" s="93">
        <v>62</v>
      </c>
      <c r="D526" s="93">
        <v>141</v>
      </c>
      <c r="E526" s="93">
        <v>562</v>
      </c>
      <c r="F526" s="93">
        <v>251</v>
      </c>
      <c r="G526" s="173"/>
      <c r="H526" s="173"/>
      <c r="I526" s="173"/>
      <c r="J526" s="173"/>
      <c r="K526" s="173"/>
    </row>
    <row r="527" spans="1:11" x14ac:dyDescent="0.2">
      <c r="A527" s="172">
        <v>38991</v>
      </c>
      <c r="B527" s="93">
        <v>941</v>
      </c>
      <c r="C527" s="93">
        <v>38</v>
      </c>
      <c r="D527" s="93">
        <v>136</v>
      </c>
      <c r="E527" s="93">
        <v>517</v>
      </c>
      <c r="F527" s="93">
        <v>250</v>
      </c>
      <c r="G527" s="173"/>
      <c r="H527" s="173"/>
      <c r="I527" s="173"/>
      <c r="J527" s="173"/>
      <c r="K527" s="173"/>
    </row>
    <row r="528" spans="1:11" x14ac:dyDescent="0.2">
      <c r="A528" s="172">
        <v>39022</v>
      </c>
      <c r="B528" s="93">
        <v>1003</v>
      </c>
      <c r="C528" s="93">
        <v>66</v>
      </c>
      <c r="D528" s="93">
        <v>155</v>
      </c>
      <c r="E528" s="93">
        <v>545</v>
      </c>
      <c r="F528" s="93">
        <v>237</v>
      </c>
      <c r="G528" s="173"/>
      <c r="H528" s="173"/>
      <c r="I528" s="173"/>
      <c r="J528" s="173"/>
      <c r="K528" s="173"/>
    </row>
    <row r="529" spans="1:11" x14ac:dyDescent="0.2">
      <c r="A529" s="172">
        <v>39052</v>
      </c>
      <c r="B529" s="93">
        <v>998</v>
      </c>
      <c r="C529" s="93">
        <v>73</v>
      </c>
      <c r="D529" s="93">
        <v>166</v>
      </c>
      <c r="E529" s="93">
        <v>510</v>
      </c>
      <c r="F529" s="93">
        <v>249</v>
      </c>
      <c r="G529" s="173"/>
      <c r="H529" s="173"/>
      <c r="I529" s="173"/>
      <c r="J529" s="173"/>
      <c r="K529" s="173"/>
    </row>
    <row r="530" spans="1:11" x14ac:dyDescent="0.2">
      <c r="A530" s="172">
        <v>39083</v>
      </c>
      <c r="B530" s="93">
        <v>891</v>
      </c>
      <c r="C530" s="93">
        <v>60</v>
      </c>
      <c r="D530" s="93">
        <v>165</v>
      </c>
      <c r="E530" s="93">
        <v>496</v>
      </c>
      <c r="F530" s="93">
        <v>170</v>
      </c>
      <c r="G530" s="173"/>
      <c r="H530" s="173"/>
      <c r="I530" s="173"/>
      <c r="J530" s="173"/>
      <c r="K530" s="173"/>
    </row>
    <row r="531" spans="1:11" x14ac:dyDescent="0.2">
      <c r="A531" s="172">
        <v>39114</v>
      </c>
      <c r="B531" s="93">
        <v>828</v>
      </c>
      <c r="C531" s="93">
        <v>50</v>
      </c>
      <c r="D531" s="93">
        <v>128</v>
      </c>
      <c r="E531" s="93">
        <v>445</v>
      </c>
      <c r="F531" s="93">
        <v>205</v>
      </c>
      <c r="G531" s="173"/>
      <c r="H531" s="173"/>
      <c r="I531" s="173"/>
      <c r="J531" s="173"/>
      <c r="K531" s="173"/>
    </row>
    <row r="532" spans="1:11" x14ac:dyDescent="0.2">
      <c r="A532" s="172">
        <v>39142</v>
      </c>
      <c r="B532" s="93">
        <v>833</v>
      </c>
      <c r="C532" s="93">
        <v>88</v>
      </c>
      <c r="D532" s="93">
        <v>130</v>
      </c>
      <c r="E532" s="93">
        <v>413</v>
      </c>
      <c r="F532" s="93">
        <v>202</v>
      </c>
      <c r="G532" s="173"/>
      <c r="H532" s="173"/>
      <c r="I532" s="173"/>
      <c r="J532" s="173"/>
      <c r="K532" s="173"/>
    </row>
    <row r="533" spans="1:11" x14ac:dyDescent="0.2">
      <c r="A533" s="172">
        <v>39173</v>
      </c>
      <c r="B533" s="93">
        <v>887</v>
      </c>
      <c r="C533" s="93">
        <v>85</v>
      </c>
      <c r="D533" s="93">
        <v>121</v>
      </c>
      <c r="E533" s="93">
        <v>475</v>
      </c>
      <c r="F533" s="93">
        <v>206</v>
      </c>
      <c r="G533" s="173"/>
      <c r="H533" s="173"/>
      <c r="I533" s="173"/>
      <c r="J533" s="173"/>
      <c r="K533" s="173"/>
    </row>
    <row r="534" spans="1:11" x14ac:dyDescent="0.2">
      <c r="A534" s="172">
        <v>39203</v>
      </c>
      <c r="B534" s="93">
        <v>842</v>
      </c>
      <c r="C534" s="93">
        <v>83</v>
      </c>
      <c r="D534" s="93">
        <v>139</v>
      </c>
      <c r="E534" s="93">
        <v>420</v>
      </c>
      <c r="F534" s="93">
        <v>200</v>
      </c>
      <c r="G534" s="173"/>
      <c r="H534" s="173"/>
      <c r="I534" s="173"/>
      <c r="J534" s="173"/>
      <c r="K534" s="173"/>
    </row>
    <row r="535" spans="1:11" x14ac:dyDescent="0.2">
      <c r="A535" s="172">
        <v>39234</v>
      </c>
      <c r="B535" s="93">
        <v>793</v>
      </c>
      <c r="C535" s="93">
        <v>65</v>
      </c>
      <c r="D535" s="93">
        <v>113</v>
      </c>
      <c r="E535" s="93">
        <v>440</v>
      </c>
      <c r="F535" s="93">
        <v>175</v>
      </c>
      <c r="G535" s="173"/>
      <c r="H535" s="173"/>
      <c r="I535" s="173"/>
      <c r="J535" s="173"/>
      <c r="K535" s="173"/>
    </row>
    <row r="536" spans="1:11" x14ac:dyDescent="0.2">
      <c r="A536" s="172">
        <v>39264</v>
      </c>
      <c r="B536" s="93">
        <v>778</v>
      </c>
      <c r="C536" s="93">
        <v>48</v>
      </c>
      <c r="D536" s="93">
        <v>105</v>
      </c>
      <c r="E536" s="93">
        <v>415</v>
      </c>
      <c r="F536" s="93">
        <v>210</v>
      </c>
      <c r="G536" s="173"/>
      <c r="H536" s="173"/>
      <c r="I536" s="173"/>
      <c r="J536" s="173"/>
      <c r="K536" s="173"/>
    </row>
    <row r="537" spans="1:11" x14ac:dyDescent="0.2">
      <c r="A537" s="172">
        <v>39295</v>
      </c>
      <c r="B537" s="93">
        <v>699</v>
      </c>
      <c r="C537" s="93">
        <v>59</v>
      </c>
      <c r="D537" s="93">
        <v>118</v>
      </c>
      <c r="E537" s="93">
        <v>362</v>
      </c>
      <c r="F537" s="93">
        <v>160</v>
      </c>
      <c r="G537" s="173"/>
      <c r="H537" s="173"/>
      <c r="I537" s="173"/>
      <c r="J537" s="173"/>
      <c r="K537" s="173"/>
    </row>
    <row r="538" spans="1:11" x14ac:dyDescent="0.2">
      <c r="A538" s="172">
        <v>39326</v>
      </c>
      <c r="B538" s="93">
        <v>686</v>
      </c>
      <c r="C538" s="93">
        <v>63</v>
      </c>
      <c r="D538" s="93">
        <v>102</v>
      </c>
      <c r="E538" s="93">
        <v>350</v>
      </c>
      <c r="F538" s="93">
        <v>171</v>
      </c>
      <c r="G538" s="173"/>
      <c r="H538" s="173"/>
      <c r="I538" s="173"/>
      <c r="J538" s="173"/>
      <c r="K538" s="173"/>
    </row>
    <row r="539" spans="1:11" x14ac:dyDescent="0.2">
      <c r="A539" s="172">
        <v>39356</v>
      </c>
      <c r="B539" s="93">
        <v>727</v>
      </c>
      <c r="C539" s="93">
        <v>62</v>
      </c>
      <c r="D539" s="93">
        <v>127</v>
      </c>
      <c r="E539" s="93">
        <v>386</v>
      </c>
      <c r="F539" s="93">
        <v>152</v>
      </c>
      <c r="G539" s="173"/>
      <c r="H539" s="173"/>
      <c r="I539" s="173"/>
      <c r="J539" s="173"/>
      <c r="K539" s="173"/>
    </row>
    <row r="540" spans="1:11" x14ac:dyDescent="0.2">
      <c r="A540" s="172">
        <v>39387</v>
      </c>
      <c r="B540" s="93">
        <v>641</v>
      </c>
      <c r="C540" s="93">
        <v>52</v>
      </c>
      <c r="D540" s="93">
        <v>90</v>
      </c>
      <c r="E540" s="93">
        <v>349</v>
      </c>
      <c r="F540" s="93">
        <v>150</v>
      </c>
      <c r="G540" s="173"/>
      <c r="H540" s="173"/>
      <c r="I540" s="173"/>
      <c r="J540" s="173"/>
      <c r="K540" s="173"/>
    </row>
    <row r="541" spans="1:11" x14ac:dyDescent="0.2">
      <c r="A541" s="172">
        <v>39417</v>
      </c>
      <c r="B541" s="93">
        <v>619</v>
      </c>
      <c r="C541" s="93">
        <v>54</v>
      </c>
      <c r="D541" s="93">
        <v>76</v>
      </c>
      <c r="E541" s="93">
        <v>354</v>
      </c>
      <c r="F541" s="93">
        <v>135</v>
      </c>
      <c r="G541" s="173"/>
      <c r="H541" s="173"/>
      <c r="I541" s="173"/>
      <c r="J541" s="173"/>
      <c r="K541" s="173"/>
    </row>
    <row r="542" spans="1:11" x14ac:dyDescent="0.2">
      <c r="A542" s="172">
        <v>39448</v>
      </c>
      <c r="B542" s="93">
        <v>627</v>
      </c>
      <c r="C542" s="93">
        <v>50</v>
      </c>
      <c r="D542" s="93">
        <v>78</v>
      </c>
      <c r="E542" s="93">
        <v>342</v>
      </c>
      <c r="F542" s="93">
        <v>157</v>
      </c>
      <c r="G542" s="173"/>
      <c r="H542" s="173"/>
      <c r="I542" s="173"/>
      <c r="J542" s="173"/>
      <c r="K542" s="173"/>
    </row>
    <row r="543" spans="1:11" x14ac:dyDescent="0.2">
      <c r="A543" s="172">
        <v>39479</v>
      </c>
      <c r="B543" s="93">
        <v>593</v>
      </c>
      <c r="C543" s="93">
        <v>43</v>
      </c>
      <c r="D543" s="93">
        <v>79</v>
      </c>
      <c r="E543" s="93">
        <v>324</v>
      </c>
      <c r="F543" s="93">
        <v>147</v>
      </c>
      <c r="G543" s="173"/>
      <c r="H543" s="173"/>
      <c r="I543" s="173"/>
      <c r="J543" s="173"/>
      <c r="K543" s="173"/>
    </row>
    <row r="544" spans="1:11" x14ac:dyDescent="0.2">
      <c r="A544" s="172">
        <v>39508</v>
      </c>
      <c r="B544" s="93">
        <v>535</v>
      </c>
      <c r="C544" s="93">
        <v>30</v>
      </c>
      <c r="D544" s="93">
        <v>75</v>
      </c>
      <c r="E544" s="93">
        <v>306</v>
      </c>
      <c r="F544" s="93">
        <v>124</v>
      </c>
      <c r="G544" s="173"/>
      <c r="H544" s="173"/>
      <c r="I544" s="173"/>
      <c r="J544" s="173"/>
      <c r="K544" s="173"/>
    </row>
    <row r="545" spans="1:11" x14ac:dyDescent="0.2">
      <c r="A545" s="172">
        <v>39539</v>
      </c>
      <c r="B545" s="93">
        <v>536</v>
      </c>
      <c r="C545" s="93">
        <v>40</v>
      </c>
      <c r="D545" s="93">
        <v>82</v>
      </c>
      <c r="E545" s="93">
        <v>287</v>
      </c>
      <c r="F545" s="93">
        <v>127</v>
      </c>
      <c r="G545" s="173"/>
      <c r="H545" s="173"/>
      <c r="I545" s="173"/>
      <c r="J545" s="173"/>
      <c r="K545" s="173"/>
    </row>
    <row r="546" spans="1:11" x14ac:dyDescent="0.2">
      <c r="A546" s="172">
        <v>39569</v>
      </c>
      <c r="B546" s="93">
        <v>504</v>
      </c>
      <c r="C546" s="93">
        <v>31</v>
      </c>
      <c r="D546" s="93">
        <v>73</v>
      </c>
      <c r="E546" s="93">
        <v>286</v>
      </c>
      <c r="F546" s="93">
        <v>114</v>
      </c>
      <c r="G546" s="173"/>
      <c r="H546" s="173"/>
      <c r="I546" s="173"/>
      <c r="J546" s="173"/>
      <c r="K546" s="173"/>
    </row>
    <row r="547" spans="1:11" x14ac:dyDescent="0.2">
      <c r="A547" s="172">
        <v>39600</v>
      </c>
      <c r="B547" s="93">
        <v>487</v>
      </c>
      <c r="C547" s="93">
        <v>34</v>
      </c>
      <c r="D547" s="93">
        <v>68</v>
      </c>
      <c r="E547" s="93">
        <v>274</v>
      </c>
      <c r="F547" s="93">
        <v>111</v>
      </c>
      <c r="G547" s="173"/>
      <c r="H547" s="173"/>
      <c r="I547" s="173"/>
      <c r="J547" s="173"/>
      <c r="K547" s="173"/>
    </row>
    <row r="548" spans="1:11" x14ac:dyDescent="0.2">
      <c r="A548" s="172">
        <v>39630</v>
      </c>
      <c r="B548" s="93">
        <v>477</v>
      </c>
      <c r="C548" s="93">
        <v>39</v>
      </c>
      <c r="D548" s="93">
        <v>65</v>
      </c>
      <c r="E548" s="93">
        <v>257</v>
      </c>
      <c r="F548" s="93">
        <v>116</v>
      </c>
      <c r="G548" s="173"/>
      <c r="H548" s="173"/>
      <c r="I548" s="173"/>
      <c r="J548" s="173"/>
      <c r="K548" s="173"/>
    </row>
    <row r="549" spans="1:11" x14ac:dyDescent="0.2">
      <c r="A549" s="172">
        <v>39661</v>
      </c>
      <c r="B549" s="93">
        <v>435</v>
      </c>
      <c r="C549" s="93">
        <v>28</v>
      </c>
      <c r="D549" s="93">
        <v>71</v>
      </c>
      <c r="E549" s="93">
        <v>246</v>
      </c>
      <c r="F549" s="93">
        <v>90</v>
      </c>
      <c r="G549" s="173"/>
      <c r="H549" s="173"/>
      <c r="I549" s="173"/>
      <c r="J549" s="173"/>
      <c r="K549" s="173"/>
    </row>
    <row r="550" spans="1:11" x14ac:dyDescent="0.2">
      <c r="A550" s="172">
        <v>39692</v>
      </c>
      <c r="B550" s="93">
        <v>433</v>
      </c>
      <c r="C550" s="93">
        <v>25</v>
      </c>
      <c r="D550" s="93">
        <v>62</v>
      </c>
      <c r="E550" s="93">
        <v>246</v>
      </c>
      <c r="F550" s="93">
        <v>100</v>
      </c>
      <c r="G550" s="173"/>
      <c r="H550" s="173"/>
      <c r="I550" s="173"/>
      <c r="J550" s="173"/>
      <c r="K550" s="173"/>
    </row>
    <row r="551" spans="1:11" x14ac:dyDescent="0.2">
      <c r="A551" s="172">
        <v>39722</v>
      </c>
      <c r="B551" s="93">
        <v>393</v>
      </c>
      <c r="C551" s="93">
        <v>35</v>
      </c>
      <c r="D551" s="93">
        <v>64</v>
      </c>
      <c r="E551" s="93">
        <v>210</v>
      </c>
      <c r="F551" s="93">
        <v>84</v>
      </c>
      <c r="G551" s="174"/>
      <c r="H551" s="174"/>
      <c r="I551" s="174"/>
      <c r="J551" s="174"/>
      <c r="K551" s="174"/>
    </row>
    <row r="552" spans="1:11" x14ac:dyDescent="0.2">
      <c r="A552" s="172">
        <v>39753</v>
      </c>
      <c r="B552" s="93">
        <v>389</v>
      </c>
      <c r="C552" s="93">
        <v>39</v>
      </c>
      <c r="D552" s="93">
        <v>54</v>
      </c>
      <c r="E552" s="93">
        <v>207</v>
      </c>
      <c r="F552" s="93">
        <v>89</v>
      </c>
      <c r="G552" s="174"/>
      <c r="H552" s="174"/>
      <c r="I552" s="174"/>
      <c r="J552" s="174"/>
      <c r="K552" s="174"/>
    </row>
    <row r="553" spans="1:11" x14ac:dyDescent="0.2">
      <c r="A553" s="172">
        <v>39783</v>
      </c>
      <c r="B553" s="93">
        <v>377</v>
      </c>
      <c r="C553" s="93">
        <v>30</v>
      </c>
      <c r="D553" s="93">
        <v>60</v>
      </c>
      <c r="E553" s="93">
        <v>192</v>
      </c>
      <c r="F553" s="93">
        <v>95</v>
      </c>
      <c r="G553" s="174"/>
      <c r="H553" s="174"/>
      <c r="I553" s="174"/>
      <c r="J553" s="174"/>
      <c r="K553" s="174"/>
    </row>
    <row r="554" spans="1:11" x14ac:dyDescent="0.2">
      <c r="A554" s="172">
        <v>39814</v>
      </c>
      <c r="B554" s="93">
        <v>336</v>
      </c>
      <c r="C554" s="93">
        <v>28</v>
      </c>
      <c r="D554" s="93">
        <v>52</v>
      </c>
      <c r="E554" s="93">
        <v>186</v>
      </c>
      <c r="F554" s="93">
        <v>70</v>
      </c>
      <c r="G554" s="173"/>
      <c r="H554" s="173"/>
      <c r="I554" s="173"/>
      <c r="J554" s="173"/>
      <c r="K554" s="173"/>
    </row>
    <row r="555" spans="1:11" x14ac:dyDescent="0.2">
      <c r="A555" s="172">
        <v>39845</v>
      </c>
      <c r="B555" s="93">
        <v>372</v>
      </c>
      <c r="C555" s="93">
        <v>31</v>
      </c>
      <c r="D555" s="93">
        <v>53</v>
      </c>
      <c r="E555" s="93">
        <v>217</v>
      </c>
      <c r="F555" s="93">
        <v>71</v>
      </c>
      <c r="G555" s="173"/>
      <c r="H555" s="173"/>
      <c r="I555" s="173"/>
      <c r="J555" s="173"/>
      <c r="K555" s="173"/>
    </row>
    <row r="556" spans="1:11" x14ac:dyDescent="0.2">
      <c r="A556" s="172">
        <v>39873</v>
      </c>
      <c r="B556" s="93">
        <v>339</v>
      </c>
      <c r="C556" s="93">
        <v>21</v>
      </c>
      <c r="D556" s="93">
        <v>45</v>
      </c>
      <c r="E556" s="93">
        <v>198</v>
      </c>
      <c r="F556" s="93">
        <v>75</v>
      </c>
      <c r="G556" s="173"/>
      <c r="H556" s="173"/>
      <c r="I556" s="173"/>
      <c r="J556" s="173"/>
      <c r="K556" s="173"/>
    </row>
    <row r="557" spans="1:11" x14ac:dyDescent="0.2">
      <c r="A557" s="172">
        <v>39904</v>
      </c>
      <c r="B557" s="93">
        <v>337</v>
      </c>
      <c r="C557" s="93">
        <v>20</v>
      </c>
      <c r="D557" s="93">
        <v>39</v>
      </c>
      <c r="E557" s="93">
        <v>201</v>
      </c>
      <c r="F557" s="93">
        <v>77</v>
      </c>
      <c r="G557" s="173"/>
      <c r="H557" s="173"/>
      <c r="I557" s="173"/>
      <c r="J557" s="173"/>
      <c r="K557" s="173"/>
    </row>
    <row r="558" spans="1:11" x14ac:dyDescent="0.2">
      <c r="A558" s="172">
        <v>39934</v>
      </c>
      <c r="B558" s="93">
        <v>376</v>
      </c>
      <c r="C558" s="93">
        <v>26</v>
      </c>
      <c r="D558" s="93">
        <v>50</v>
      </c>
      <c r="E558" s="93">
        <v>210</v>
      </c>
      <c r="F558" s="93">
        <v>90</v>
      </c>
      <c r="G558" s="173"/>
      <c r="H558" s="173"/>
      <c r="I558" s="173"/>
      <c r="J558" s="173"/>
      <c r="K558" s="173"/>
    </row>
    <row r="559" spans="1:11" x14ac:dyDescent="0.2">
      <c r="A559" s="172">
        <v>39965</v>
      </c>
      <c r="B559" s="93">
        <v>393</v>
      </c>
      <c r="C559" s="93">
        <v>34</v>
      </c>
      <c r="D559" s="93">
        <v>58</v>
      </c>
      <c r="E559" s="93">
        <v>195</v>
      </c>
      <c r="F559" s="93">
        <v>106</v>
      </c>
      <c r="G559" s="173"/>
      <c r="H559" s="173"/>
      <c r="I559" s="173"/>
      <c r="J559" s="173"/>
      <c r="K559" s="173"/>
    </row>
    <row r="560" spans="1:11" x14ac:dyDescent="0.2">
      <c r="A560" s="172">
        <v>39995</v>
      </c>
      <c r="B560" s="93">
        <v>411</v>
      </c>
      <c r="C560" s="93">
        <v>42</v>
      </c>
      <c r="D560" s="93">
        <v>57</v>
      </c>
      <c r="E560" s="93">
        <v>215</v>
      </c>
      <c r="F560" s="93">
        <v>97</v>
      </c>
      <c r="G560" s="173"/>
      <c r="H560" s="173"/>
      <c r="I560" s="173"/>
      <c r="J560" s="173"/>
      <c r="K560" s="173"/>
    </row>
    <row r="561" spans="1:11" x14ac:dyDescent="0.2">
      <c r="A561" s="172">
        <v>40026</v>
      </c>
      <c r="B561" s="93">
        <v>418</v>
      </c>
      <c r="C561" s="93">
        <v>36</v>
      </c>
      <c r="D561" s="93">
        <v>56</v>
      </c>
      <c r="E561" s="93">
        <v>218</v>
      </c>
      <c r="F561" s="93">
        <v>108</v>
      </c>
      <c r="G561" s="173"/>
      <c r="H561" s="173"/>
      <c r="I561" s="173"/>
      <c r="J561" s="173"/>
      <c r="K561" s="173"/>
    </row>
    <row r="562" spans="1:11" x14ac:dyDescent="0.2">
      <c r="A562" s="172">
        <v>40057</v>
      </c>
      <c r="B562" s="93">
        <v>386</v>
      </c>
      <c r="C562" s="93">
        <v>35</v>
      </c>
      <c r="D562" s="93">
        <v>63</v>
      </c>
      <c r="E562" s="93">
        <v>192</v>
      </c>
      <c r="F562" s="93">
        <v>96</v>
      </c>
      <c r="G562" s="173"/>
      <c r="H562" s="173"/>
      <c r="I562" s="173"/>
      <c r="J562" s="173"/>
      <c r="K562" s="173"/>
    </row>
    <row r="563" spans="1:11" x14ac:dyDescent="0.2">
      <c r="A563" s="172">
        <v>40087</v>
      </c>
      <c r="B563" s="93">
        <v>396</v>
      </c>
      <c r="C563" s="93">
        <v>32</v>
      </c>
      <c r="D563" s="93">
        <v>54</v>
      </c>
      <c r="E563" s="93">
        <v>215</v>
      </c>
      <c r="F563" s="93">
        <v>95</v>
      </c>
      <c r="G563" s="173"/>
      <c r="H563" s="173"/>
      <c r="I563" s="173"/>
      <c r="J563" s="173"/>
      <c r="K563" s="173"/>
    </row>
    <row r="564" spans="1:11" x14ac:dyDescent="0.2">
      <c r="A564" s="172">
        <v>40118</v>
      </c>
      <c r="B564" s="93">
        <v>375</v>
      </c>
      <c r="C564" s="93">
        <v>33</v>
      </c>
      <c r="D564" s="93">
        <v>73</v>
      </c>
      <c r="E564" s="93">
        <v>191</v>
      </c>
      <c r="F564" s="93">
        <v>78</v>
      </c>
      <c r="G564" s="173"/>
      <c r="H564" s="173"/>
      <c r="I564" s="173"/>
      <c r="J564" s="173"/>
      <c r="K564" s="173"/>
    </row>
    <row r="565" spans="1:11" x14ac:dyDescent="0.2">
      <c r="A565" s="172">
        <v>40148</v>
      </c>
      <c r="B565" s="93">
        <v>352</v>
      </c>
      <c r="C565" s="93">
        <v>39</v>
      </c>
      <c r="D565" s="93">
        <v>50</v>
      </c>
      <c r="E565" s="93">
        <v>182</v>
      </c>
      <c r="F565" s="93">
        <v>81</v>
      </c>
      <c r="G565" s="173"/>
      <c r="H565" s="173"/>
      <c r="I565" s="173"/>
      <c r="J565" s="173"/>
      <c r="K565" s="173"/>
    </row>
    <row r="566" spans="1:11" x14ac:dyDescent="0.2">
      <c r="A566" s="172">
        <v>40179</v>
      </c>
      <c r="B566" s="93">
        <v>345</v>
      </c>
      <c r="C566" s="93">
        <v>40</v>
      </c>
      <c r="D566" s="93">
        <v>54</v>
      </c>
      <c r="E566" s="93">
        <v>171</v>
      </c>
      <c r="F566" s="93">
        <v>80</v>
      </c>
      <c r="G566" s="173"/>
      <c r="H566" s="173"/>
      <c r="I566" s="173"/>
      <c r="J566" s="173"/>
      <c r="K566" s="173"/>
    </row>
    <row r="567" spans="1:11" x14ac:dyDescent="0.2">
      <c r="A567" s="172">
        <v>40210</v>
      </c>
      <c r="B567" s="93">
        <v>336</v>
      </c>
      <c r="C567" s="93">
        <v>31</v>
      </c>
      <c r="D567" s="93">
        <v>51</v>
      </c>
      <c r="E567" s="93">
        <v>166</v>
      </c>
      <c r="F567" s="93">
        <v>88</v>
      </c>
      <c r="G567" s="173"/>
      <c r="H567" s="173"/>
      <c r="I567" s="173"/>
      <c r="J567" s="173"/>
      <c r="K567" s="173"/>
    </row>
    <row r="568" spans="1:11" x14ac:dyDescent="0.2">
      <c r="A568" s="172">
        <v>40238</v>
      </c>
      <c r="B568" s="93">
        <v>381</v>
      </c>
      <c r="C568" s="93">
        <v>32</v>
      </c>
      <c r="D568" s="93">
        <v>55</v>
      </c>
      <c r="E568" s="93">
        <v>199</v>
      </c>
      <c r="F568" s="93">
        <v>95</v>
      </c>
      <c r="G568" s="173"/>
      <c r="H568" s="173"/>
      <c r="I568" s="173"/>
      <c r="J568" s="173"/>
      <c r="K568" s="173"/>
    </row>
    <row r="569" spans="1:11" x14ac:dyDescent="0.2">
      <c r="A569" s="172">
        <v>40269</v>
      </c>
      <c r="B569" s="93">
        <v>422</v>
      </c>
      <c r="C569" s="93">
        <v>34</v>
      </c>
      <c r="D569" s="93">
        <v>55</v>
      </c>
      <c r="E569" s="93">
        <v>231</v>
      </c>
      <c r="F569" s="93">
        <v>102</v>
      </c>
      <c r="G569" s="173"/>
      <c r="H569" s="173"/>
      <c r="I569" s="173"/>
      <c r="J569" s="173"/>
      <c r="K569" s="173"/>
    </row>
    <row r="570" spans="1:11" x14ac:dyDescent="0.2">
      <c r="A570" s="172">
        <v>40299</v>
      </c>
      <c r="B570" s="93">
        <v>280</v>
      </c>
      <c r="C570" s="93">
        <v>28</v>
      </c>
      <c r="D570" s="93">
        <v>41</v>
      </c>
      <c r="E570" s="93">
        <v>149</v>
      </c>
      <c r="F570" s="93">
        <v>62</v>
      </c>
      <c r="G570" s="173"/>
      <c r="H570" s="173"/>
      <c r="I570" s="173"/>
      <c r="J570" s="173"/>
      <c r="K570" s="173"/>
    </row>
    <row r="571" spans="1:11" x14ac:dyDescent="0.2">
      <c r="A571" s="172">
        <v>40330</v>
      </c>
      <c r="B571" s="93">
        <v>305</v>
      </c>
      <c r="C571" s="93">
        <v>34</v>
      </c>
      <c r="D571" s="93">
        <v>45</v>
      </c>
      <c r="E571" s="93">
        <v>170</v>
      </c>
      <c r="F571" s="93">
        <v>56</v>
      </c>
    </row>
    <row r="572" spans="1:11" x14ac:dyDescent="0.2">
      <c r="A572" s="172">
        <v>40360</v>
      </c>
      <c r="B572" s="93">
        <v>283</v>
      </c>
      <c r="C572" s="93">
        <v>28</v>
      </c>
      <c r="D572" s="93">
        <v>43</v>
      </c>
      <c r="E572" s="93">
        <v>167</v>
      </c>
      <c r="F572" s="93">
        <v>45</v>
      </c>
    </row>
    <row r="573" spans="1:11" x14ac:dyDescent="0.2">
      <c r="A573" s="172">
        <v>40391</v>
      </c>
      <c r="B573" s="93">
        <v>282</v>
      </c>
      <c r="C573" s="93">
        <v>30</v>
      </c>
      <c r="D573" s="93">
        <v>31</v>
      </c>
      <c r="E573" s="93">
        <v>153</v>
      </c>
      <c r="F573" s="93">
        <v>68</v>
      </c>
    </row>
    <row r="574" spans="1:11" x14ac:dyDescent="0.2">
      <c r="A574" s="172">
        <v>40422</v>
      </c>
      <c r="B574" s="93">
        <v>317</v>
      </c>
      <c r="C574" s="93">
        <v>36</v>
      </c>
      <c r="D574" s="93">
        <v>50</v>
      </c>
      <c r="E574" s="93">
        <v>162</v>
      </c>
      <c r="F574" s="93">
        <v>69</v>
      </c>
    </row>
    <row r="575" spans="1:11" x14ac:dyDescent="0.2">
      <c r="A575" s="172">
        <v>40452</v>
      </c>
      <c r="B575" s="93">
        <v>291</v>
      </c>
      <c r="C575" s="93">
        <v>31</v>
      </c>
      <c r="D575" s="93">
        <v>39</v>
      </c>
      <c r="E575" s="93">
        <v>172</v>
      </c>
      <c r="F575" s="93">
        <v>49</v>
      </c>
    </row>
    <row r="576" spans="1:11" x14ac:dyDescent="0.2">
      <c r="A576" s="172">
        <v>40483</v>
      </c>
      <c r="B576" s="93">
        <v>287</v>
      </c>
      <c r="C576" s="93">
        <v>22</v>
      </c>
      <c r="D576" s="93">
        <v>34</v>
      </c>
      <c r="E576" s="93">
        <v>162</v>
      </c>
      <c r="F576" s="93">
        <v>69</v>
      </c>
    </row>
    <row r="577" spans="1:11" x14ac:dyDescent="0.2">
      <c r="A577" s="172">
        <v>40513</v>
      </c>
      <c r="B577" s="93">
        <v>326</v>
      </c>
      <c r="C577" s="93">
        <v>22</v>
      </c>
      <c r="D577" s="93">
        <v>36</v>
      </c>
      <c r="E577" s="93">
        <v>168</v>
      </c>
      <c r="F577" s="93">
        <v>100</v>
      </c>
    </row>
    <row r="578" spans="1:11" x14ac:dyDescent="0.2">
      <c r="A578" s="172">
        <v>40544</v>
      </c>
      <c r="B578" s="93">
        <v>307</v>
      </c>
      <c r="C578" s="93">
        <v>33</v>
      </c>
      <c r="D578" s="93">
        <v>42</v>
      </c>
      <c r="E578" s="93">
        <v>158</v>
      </c>
      <c r="F578" s="93">
        <v>74</v>
      </c>
    </row>
    <row r="579" spans="1:11" x14ac:dyDescent="0.2">
      <c r="A579" s="172">
        <v>40575</v>
      </c>
      <c r="B579" s="93">
        <v>270</v>
      </c>
      <c r="C579" s="93">
        <v>18</v>
      </c>
      <c r="D579" s="93">
        <v>30</v>
      </c>
      <c r="E579" s="93">
        <v>162</v>
      </c>
      <c r="F579" s="93">
        <v>60</v>
      </c>
    </row>
    <row r="580" spans="1:11" x14ac:dyDescent="0.2">
      <c r="A580" s="172">
        <v>40603</v>
      </c>
      <c r="B580" s="93">
        <v>300</v>
      </c>
      <c r="C580" s="93">
        <v>23</v>
      </c>
      <c r="D580" s="93">
        <v>40</v>
      </c>
      <c r="E580" s="93">
        <v>164</v>
      </c>
      <c r="F580" s="93">
        <v>73</v>
      </c>
    </row>
    <row r="581" spans="1:11" x14ac:dyDescent="0.2">
      <c r="A581" s="172">
        <v>40634</v>
      </c>
      <c r="B581" s="93">
        <v>310</v>
      </c>
      <c r="C581" s="93">
        <v>25</v>
      </c>
      <c r="D581" s="93">
        <v>41</v>
      </c>
      <c r="E581" s="93">
        <v>166</v>
      </c>
      <c r="F581" s="93">
        <v>78</v>
      </c>
    </row>
    <row r="582" spans="1:11" x14ac:dyDescent="0.2">
      <c r="A582" s="172">
        <v>40664</v>
      </c>
      <c r="B582" s="93">
        <v>305</v>
      </c>
      <c r="C582" s="93">
        <v>18</v>
      </c>
      <c r="D582" s="93">
        <v>41</v>
      </c>
      <c r="E582" s="93">
        <v>173</v>
      </c>
      <c r="F582" s="93">
        <v>73</v>
      </c>
    </row>
    <row r="583" spans="1:11" x14ac:dyDescent="0.2">
      <c r="A583" s="172">
        <v>40695</v>
      </c>
      <c r="B583" s="93">
        <v>301</v>
      </c>
      <c r="C583" s="93">
        <v>16</v>
      </c>
      <c r="D583" s="93">
        <v>46</v>
      </c>
      <c r="E583" s="93">
        <v>170</v>
      </c>
      <c r="F583" s="93">
        <v>69</v>
      </c>
    </row>
    <row r="584" spans="1:11" x14ac:dyDescent="0.2">
      <c r="A584" s="172">
        <v>40725</v>
      </c>
      <c r="B584" s="93">
        <v>296</v>
      </c>
      <c r="C584" s="93">
        <v>23</v>
      </c>
      <c r="D584" s="93">
        <v>44</v>
      </c>
      <c r="E584" s="93">
        <v>167</v>
      </c>
      <c r="F584" s="93">
        <v>62</v>
      </c>
    </row>
    <row r="585" spans="1:11" x14ac:dyDescent="0.2">
      <c r="A585" s="172">
        <v>40756</v>
      </c>
      <c r="B585" s="93">
        <v>299</v>
      </c>
      <c r="C585" s="93">
        <v>24</v>
      </c>
      <c r="D585" s="93">
        <v>48</v>
      </c>
      <c r="E585" s="93">
        <v>163</v>
      </c>
      <c r="F585" s="93">
        <v>64</v>
      </c>
    </row>
    <row r="586" spans="1:11" x14ac:dyDescent="0.2">
      <c r="A586" s="172">
        <v>40787</v>
      </c>
      <c r="B586" s="93">
        <v>304</v>
      </c>
      <c r="C586" s="93">
        <v>19</v>
      </c>
      <c r="D586" s="93">
        <v>48</v>
      </c>
      <c r="E586" s="93">
        <v>170</v>
      </c>
      <c r="F586" s="93">
        <v>67</v>
      </c>
    </row>
    <row r="587" spans="1:11" x14ac:dyDescent="0.2">
      <c r="A587" s="172">
        <v>40817</v>
      </c>
      <c r="B587" s="93">
        <v>316</v>
      </c>
      <c r="C587" s="93">
        <v>19</v>
      </c>
      <c r="D587" s="93">
        <v>50</v>
      </c>
      <c r="E587" s="93">
        <v>165</v>
      </c>
      <c r="F587" s="93">
        <v>82</v>
      </c>
    </row>
    <row r="588" spans="1:11" x14ac:dyDescent="0.2">
      <c r="A588" s="172">
        <v>40848</v>
      </c>
      <c r="B588" s="93">
        <v>328</v>
      </c>
      <c r="C588" s="93">
        <v>16</v>
      </c>
      <c r="D588" s="93">
        <v>54</v>
      </c>
      <c r="E588" s="93">
        <v>182</v>
      </c>
      <c r="F588" s="93">
        <v>76</v>
      </c>
    </row>
    <row r="589" spans="1:11" x14ac:dyDescent="0.2">
      <c r="A589" s="172">
        <v>40878</v>
      </c>
      <c r="B589" s="93">
        <v>341</v>
      </c>
      <c r="C589" s="93">
        <v>20</v>
      </c>
      <c r="D589" s="93">
        <v>58</v>
      </c>
      <c r="E589" s="93">
        <v>178</v>
      </c>
      <c r="F589" s="93">
        <v>85</v>
      </c>
    </row>
    <row r="590" spans="1:11" x14ac:dyDescent="0.2">
      <c r="A590" s="172">
        <v>40909</v>
      </c>
      <c r="B590" s="93">
        <v>335</v>
      </c>
      <c r="C590" s="93">
        <v>24</v>
      </c>
      <c r="D590" s="93">
        <v>44</v>
      </c>
      <c r="E590" s="93">
        <v>190</v>
      </c>
      <c r="F590" s="93">
        <v>77</v>
      </c>
      <c r="G590" s="84">
        <v>4480</v>
      </c>
      <c r="H590" s="84">
        <v>560</v>
      </c>
      <c r="I590" s="84">
        <v>990</v>
      </c>
      <c r="J590" s="84">
        <v>1710</v>
      </c>
      <c r="K590" s="84">
        <v>1220</v>
      </c>
    </row>
    <row r="591" spans="1:11" x14ac:dyDescent="0.2">
      <c r="A591" s="172">
        <v>40940</v>
      </c>
      <c r="B591" s="93">
        <v>366</v>
      </c>
      <c r="C591" s="93">
        <v>27</v>
      </c>
      <c r="D591" s="93">
        <v>50</v>
      </c>
      <c r="E591" s="93">
        <v>196</v>
      </c>
      <c r="F591" s="93">
        <v>93</v>
      </c>
      <c r="G591" s="84">
        <v>4580</v>
      </c>
      <c r="H591" s="84">
        <v>590</v>
      </c>
      <c r="I591" s="84">
        <v>1040</v>
      </c>
      <c r="J591" s="84">
        <v>1770</v>
      </c>
      <c r="K591" s="84">
        <v>1180</v>
      </c>
    </row>
    <row r="592" spans="1:11" x14ac:dyDescent="0.2">
      <c r="A592" s="172">
        <v>40969</v>
      </c>
      <c r="B592" s="93">
        <v>354</v>
      </c>
      <c r="C592" s="93">
        <v>32</v>
      </c>
      <c r="D592" s="93">
        <v>42</v>
      </c>
      <c r="E592" s="93">
        <v>200</v>
      </c>
      <c r="F592" s="93">
        <v>80</v>
      </c>
      <c r="G592" s="84">
        <v>4520</v>
      </c>
      <c r="H592" s="84">
        <v>600</v>
      </c>
      <c r="I592" s="84">
        <v>1020</v>
      </c>
      <c r="J592" s="84">
        <v>1750</v>
      </c>
      <c r="K592" s="84">
        <v>1150</v>
      </c>
    </row>
    <row r="593" spans="1:12" x14ac:dyDescent="0.2">
      <c r="A593" s="172">
        <v>41000</v>
      </c>
      <c r="B593" s="93">
        <v>354</v>
      </c>
      <c r="C593" s="93">
        <v>29</v>
      </c>
      <c r="D593" s="93">
        <v>49</v>
      </c>
      <c r="E593" s="93">
        <v>181</v>
      </c>
      <c r="F593" s="93">
        <v>95</v>
      </c>
      <c r="G593" s="84">
        <v>4590</v>
      </c>
      <c r="H593" s="84">
        <v>620</v>
      </c>
      <c r="I593" s="84">
        <v>1050</v>
      </c>
      <c r="J593" s="84">
        <v>1760</v>
      </c>
      <c r="K593" s="84">
        <v>1160</v>
      </c>
    </row>
    <row r="594" spans="1:12" x14ac:dyDescent="0.2">
      <c r="A594" s="172">
        <v>41030</v>
      </c>
      <c r="B594" s="93">
        <v>370</v>
      </c>
      <c r="C594" s="93">
        <v>36</v>
      </c>
      <c r="D594" s="93">
        <v>45</v>
      </c>
      <c r="E594" s="93">
        <v>191</v>
      </c>
      <c r="F594" s="93">
        <v>98</v>
      </c>
      <c r="G594" s="84">
        <v>4600</v>
      </c>
      <c r="H594" s="84">
        <v>600</v>
      </c>
      <c r="I594" s="84">
        <v>1050</v>
      </c>
      <c r="J594" s="84">
        <v>1800</v>
      </c>
      <c r="K594" s="84">
        <v>1150</v>
      </c>
    </row>
    <row r="595" spans="1:12" x14ac:dyDescent="0.2">
      <c r="A595" s="172">
        <v>41061</v>
      </c>
      <c r="B595" s="93">
        <v>360</v>
      </c>
      <c r="C595" s="93">
        <v>16</v>
      </c>
      <c r="D595" s="93">
        <v>49</v>
      </c>
      <c r="E595" s="93">
        <v>188</v>
      </c>
      <c r="F595" s="93">
        <v>107</v>
      </c>
      <c r="G595" s="84">
        <v>4470</v>
      </c>
      <c r="H595" s="84">
        <v>560</v>
      </c>
      <c r="I595" s="84">
        <v>1040</v>
      </c>
      <c r="J595" s="84">
        <v>1780</v>
      </c>
      <c r="K595" s="84">
        <v>1090</v>
      </c>
    </row>
    <row r="596" spans="1:12" x14ac:dyDescent="0.2">
      <c r="A596" s="172">
        <v>41091</v>
      </c>
      <c r="B596" s="93">
        <v>369</v>
      </c>
      <c r="C596" s="93">
        <v>31</v>
      </c>
      <c r="D596" s="93">
        <v>56</v>
      </c>
      <c r="E596" s="93">
        <v>180</v>
      </c>
      <c r="F596" s="93">
        <v>102</v>
      </c>
      <c r="G596" s="84">
        <v>4530</v>
      </c>
      <c r="H596" s="84">
        <v>590</v>
      </c>
      <c r="I596" s="84">
        <v>1040</v>
      </c>
      <c r="J596" s="84">
        <v>1790</v>
      </c>
      <c r="K596" s="84">
        <v>1110</v>
      </c>
    </row>
    <row r="597" spans="1:12" x14ac:dyDescent="0.2">
      <c r="A597" s="172">
        <v>41122</v>
      </c>
      <c r="B597" s="93">
        <v>375</v>
      </c>
      <c r="C597" s="93">
        <v>27</v>
      </c>
      <c r="D597" s="93">
        <v>54</v>
      </c>
      <c r="E597" s="93">
        <v>187</v>
      </c>
      <c r="F597" s="93">
        <v>107</v>
      </c>
      <c r="G597" s="84">
        <v>4760</v>
      </c>
      <c r="H597" s="84">
        <v>610</v>
      </c>
      <c r="I597" s="84">
        <v>1070</v>
      </c>
      <c r="J597" s="84">
        <v>1920</v>
      </c>
      <c r="K597" s="84">
        <v>1160</v>
      </c>
    </row>
    <row r="598" spans="1:12" x14ac:dyDescent="0.2">
      <c r="A598" s="172">
        <v>41153</v>
      </c>
      <c r="B598" s="93">
        <v>385</v>
      </c>
      <c r="C598" s="93">
        <v>37</v>
      </c>
      <c r="D598" s="93">
        <v>35</v>
      </c>
      <c r="E598" s="93">
        <v>214</v>
      </c>
      <c r="F598" s="93">
        <v>99</v>
      </c>
      <c r="G598" s="84">
        <v>4710</v>
      </c>
      <c r="H598" s="84">
        <v>590</v>
      </c>
      <c r="I598" s="84">
        <v>1090</v>
      </c>
      <c r="J598" s="84">
        <v>1890</v>
      </c>
      <c r="K598" s="84">
        <v>1140</v>
      </c>
    </row>
    <row r="599" spans="1:12" x14ac:dyDescent="0.2">
      <c r="A599" s="172">
        <v>41183</v>
      </c>
      <c r="B599" s="93">
        <v>358</v>
      </c>
      <c r="C599" s="93">
        <v>25</v>
      </c>
      <c r="D599" s="93">
        <v>51</v>
      </c>
      <c r="E599" s="93">
        <v>175</v>
      </c>
      <c r="F599" s="93">
        <v>107</v>
      </c>
      <c r="G599" s="84">
        <v>4790</v>
      </c>
      <c r="H599" s="84">
        <v>610</v>
      </c>
      <c r="I599" s="84">
        <v>1100</v>
      </c>
      <c r="J599" s="84">
        <v>1910</v>
      </c>
      <c r="K599" s="84">
        <v>1170</v>
      </c>
    </row>
    <row r="600" spans="1:12" x14ac:dyDescent="0.2">
      <c r="A600" s="172">
        <v>41214</v>
      </c>
      <c r="B600" s="93">
        <v>392</v>
      </c>
      <c r="C600" s="93">
        <v>32</v>
      </c>
      <c r="D600" s="93">
        <v>44</v>
      </c>
      <c r="E600" s="93">
        <v>221</v>
      </c>
      <c r="F600" s="93">
        <v>95</v>
      </c>
      <c r="G600" s="84">
        <v>4960</v>
      </c>
      <c r="H600" s="84">
        <v>610</v>
      </c>
      <c r="I600" s="84">
        <v>1150</v>
      </c>
      <c r="J600" s="84">
        <v>2000</v>
      </c>
      <c r="K600" s="84">
        <v>1200</v>
      </c>
    </row>
    <row r="601" spans="1:12" x14ac:dyDescent="0.2">
      <c r="A601" s="172">
        <v>41244</v>
      </c>
      <c r="B601" s="93">
        <v>399</v>
      </c>
      <c r="C601" s="93">
        <v>30</v>
      </c>
      <c r="D601" s="93">
        <v>48</v>
      </c>
      <c r="E601" s="93">
        <v>222</v>
      </c>
      <c r="F601" s="93">
        <v>99</v>
      </c>
      <c r="G601" s="84">
        <v>4890</v>
      </c>
      <c r="H601" s="84">
        <v>620</v>
      </c>
      <c r="I601" s="84">
        <v>1120</v>
      </c>
      <c r="J601" s="84">
        <v>1930</v>
      </c>
      <c r="K601" s="84">
        <v>1220</v>
      </c>
      <c r="L601" s="93"/>
    </row>
    <row r="602" spans="1:12" x14ac:dyDescent="0.2">
      <c r="A602" s="172">
        <v>41275</v>
      </c>
      <c r="B602" s="93">
        <v>446</v>
      </c>
      <c r="C602" s="93">
        <v>29</v>
      </c>
      <c r="D602" s="93">
        <v>56</v>
      </c>
      <c r="E602" s="93">
        <v>220</v>
      </c>
      <c r="F602" s="93">
        <v>141</v>
      </c>
      <c r="G602" s="84">
        <v>4920</v>
      </c>
      <c r="H602" s="84">
        <v>630</v>
      </c>
      <c r="I602" s="84">
        <v>1170</v>
      </c>
      <c r="J602" s="84">
        <v>1930</v>
      </c>
      <c r="K602" s="84">
        <v>1190</v>
      </c>
      <c r="L602" s="93"/>
    </row>
    <row r="603" spans="1:12" x14ac:dyDescent="0.2">
      <c r="A603" s="172">
        <v>41306</v>
      </c>
      <c r="B603" s="93">
        <v>447</v>
      </c>
      <c r="C603" s="93">
        <v>37</v>
      </c>
      <c r="D603" s="93">
        <v>69</v>
      </c>
      <c r="E603" s="93">
        <v>211</v>
      </c>
      <c r="F603" s="93">
        <v>130</v>
      </c>
      <c r="G603" s="84">
        <v>5020</v>
      </c>
      <c r="H603" s="84">
        <v>640</v>
      </c>
      <c r="I603" s="84">
        <v>1180</v>
      </c>
      <c r="J603" s="84">
        <v>2000</v>
      </c>
      <c r="K603" s="84">
        <v>1200</v>
      </c>
      <c r="L603" s="93"/>
    </row>
    <row r="604" spans="1:12" x14ac:dyDescent="0.2">
      <c r="A604" s="172">
        <v>41334</v>
      </c>
      <c r="B604" s="93">
        <v>444</v>
      </c>
      <c r="C604" s="93">
        <v>37</v>
      </c>
      <c r="D604" s="93">
        <v>61</v>
      </c>
      <c r="E604" s="93">
        <v>234</v>
      </c>
      <c r="F604" s="93">
        <v>112</v>
      </c>
      <c r="G604" s="84">
        <v>5050</v>
      </c>
      <c r="H604" s="84">
        <v>640</v>
      </c>
      <c r="I604" s="84">
        <v>1180</v>
      </c>
      <c r="J604" s="84">
        <v>2020</v>
      </c>
      <c r="K604" s="84">
        <v>1210</v>
      </c>
      <c r="L604" s="93"/>
    </row>
    <row r="605" spans="1:12" x14ac:dyDescent="0.2">
      <c r="A605" s="172">
        <v>41365</v>
      </c>
      <c r="B605" s="93">
        <v>441</v>
      </c>
      <c r="C605" s="93">
        <v>29</v>
      </c>
      <c r="D605" s="93">
        <v>60</v>
      </c>
      <c r="E605" s="93">
        <v>251</v>
      </c>
      <c r="F605" s="93">
        <v>101</v>
      </c>
      <c r="G605" s="84">
        <v>5060</v>
      </c>
      <c r="H605" s="84">
        <v>650</v>
      </c>
      <c r="I605" s="84">
        <v>1170</v>
      </c>
      <c r="J605" s="84">
        <v>2030</v>
      </c>
      <c r="K605" s="84">
        <v>1210</v>
      </c>
      <c r="L605" s="93"/>
    </row>
    <row r="606" spans="1:12" x14ac:dyDescent="0.2">
      <c r="A606" s="172">
        <v>41395</v>
      </c>
      <c r="B606" s="93">
        <v>428</v>
      </c>
      <c r="C606" s="93">
        <v>27</v>
      </c>
      <c r="D606" s="93">
        <v>70</v>
      </c>
      <c r="E606" s="93">
        <v>236</v>
      </c>
      <c r="F606" s="93">
        <v>95</v>
      </c>
      <c r="G606" s="84">
        <v>5150</v>
      </c>
      <c r="H606" s="84">
        <v>640</v>
      </c>
      <c r="I606" s="84">
        <v>1220</v>
      </c>
      <c r="J606" s="84">
        <v>2050</v>
      </c>
      <c r="K606" s="84">
        <v>1240</v>
      </c>
      <c r="L606" s="93"/>
    </row>
    <row r="607" spans="1:12" x14ac:dyDescent="0.2">
      <c r="A607" s="172">
        <v>41426</v>
      </c>
      <c r="B607" s="93">
        <v>470</v>
      </c>
      <c r="C607" s="93">
        <v>35</v>
      </c>
      <c r="D607" s="93">
        <v>57</v>
      </c>
      <c r="E607" s="93">
        <v>259</v>
      </c>
      <c r="F607" s="93">
        <v>119</v>
      </c>
      <c r="G607" s="84">
        <v>5140</v>
      </c>
      <c r="H607" s="84">
        <v>660</v>
      </c>
      <c r="I607" s="84">
        <v>1220</v>
      </c>
      <c r="J607" s="84">
        <v>2040</v>
      </c>
      <c r="K607" s="84">
        <v>1220</v>
      </c>
      <c r="L607" s="93"/>
    </row>
    <row r="608" spans="1:12" x14ac:dyDescent="0.2">
      <c r="A608" s="172">
        <v>41456</v>
      </c>
      <c r="B608" s="93">
        <v>375</v>
      </c>
      <c r="C608" s="93">
        <v>30</v>
      </c>
      <c r="D608" s="93">
        <v>53</v>
      </c>
      <c r="E608" s="93">
        <v>195</v>
      </c>
      <c r="F608" s="93">
        <v>97</v>
      </c>
      <c r="G608" s="84">
        <v>5310</v>
      </c>
      <c r="H608" s="84">
        <v>710</v>
      </c>
      <c r="I608" s="84">
        <v>1260</v>
      </c>
      <c r="J608" s="84">
        <v>2080</v>
      </c>
      <c r="K608" s="84">
        <v>1260</v>
      </c>
      <c r="L608" s="93"/>
    </row>
    <row r="609" spans="1:12" x14ac:dyDescent="0.2">
      <c r="A609" s="172">
        <v>41487</v>
      </c>
      <c r="B609" s="93">
        <v>381</v>
      </c>
      <c r="C609" s="93">
        <v>31</v>
      </c>
      <c r="D609" s="93">
        <v>61</v>
      </c>
      <c r="E609" s="93">
        <v>207</v>
      </c>
      <c r="F609" s="93">
        <v>82</v>
      </c>
      <c r="G609" s="84">
        <v>5270</v>
      </c>
      <c r="H609" s="84">
        <v>690</v>
      </c>
      <c r="I609" s="84">
        <v>1260</v>
      </c>
      <c r="J609" s="84">
        <v>2110</v>
      </c>
      <c r="K609" s="84">
        <v>1210</v>
      </c>
      <c r="L609" s="93"/>
    </row>
    <row r="610" spans="1:12" x14ac:dyDescent="0.2">
      <c r="A610" s="172">
        <v>41518</v>
      </c>
      <c r="B610" s="93">
        <v>403</v>
      </c>
      <c r="C610" s="93">
        <v>25</v>
      </c>
      <c r="D610" s="93">
        <v>61</v>
      </c>
      <c r="E610" s="93">
        <v>222</v>
      </c>
      <c r="F610" s="93">
        <v>95</v>
      </c>
      <c r="G610" s="84">
        <v>5190</v>
      </c>
      <c r="H610" s="84">
        <v>680</v>
      </c>
      <c r="I610" s="84">
        <v>1210</v>
      </c>
      <c r="J610" s="84">
        <v>2070</v>
      </c>
      <c r="K610" s="84">
        <v>1230</v>
      </c>
      <c r="L610" s="93"/>
    </row>
    <row r="611" spans="1:12" x14ac:dyDescent="0.2">
      <c r="A611" s="172">
        <v>41548</v>
      </c>
      <c r="B611" s="93">
        <v>444</v>
      </c>
      <c r="C611" s="93">
        <v>31</v>
      </c>
      <c r="D611" s="93">
        <v>64</v>
      </c>
      <c r="E611" s="93">
        <v>260</v>
      </c>
      <c r="F611" s="93">
        <v>89</v>
      </c>
      <c r="G611" s="84">
        <v>5060</v>
      </c>
      <c r="H611" s="84">
        <v>670</v>
      </c>
      <c r="I611" s="84">
        <v>1180</v>
      </c>
      <c r="J611" s="84">
        <v>2040</v>
      </c>
      <c r="K611" s="84">
        <v>1170</v>
      </c>
      <c r="L611" s="93"/>
    </row>
    <row r="612" spans="1:12" x14ac:dyDescent="0.2">
      <c r="A612" s="172">
        <v>41579</v>
      </c>
      <c r="B612" s="93">
        <v>446</v>
      </c>
      <c r="C612" s="93">
        <v>33</v>
      </c>
      <c r="D612" s="93">
        <v>57</v>
      </c>
      <c r="E612" s="93">
        <v>250</v>
      </c>
      <c r="F612" s="93">
        <v>106</v>
      </c>
      <c r="G612" s="84">
        <v>4860</v>
      </c>
      <c r="H612" s="84">
        <v>650</v>
      </c>
      <c r="I612" s="84">
        <v>1150</v>
      </c>
      <c r="J612" s="84">
        <v>2000</v>
      </c>
      <c r="K612" s="84">
        <v>1060</v>
      </c>
      <c r="L612" s="93"/>
    </row>
    <row r="613" spans="1:12" x14ac:dyDescent="0.2">
      <c r="A613" s="172">
        <v>41609</v>
      </c>
      <c r="B613" s="93">
        <v>433</v>
      </c>
      <c r="C613" s="93">
        <v>23</v>
      </c>
      <c r="D613" s="93">
        <v>61</v>
      </c>
      <c r="E613" s="93">
        <v>252</v>
      </c>
      <c r="F613" s="93">
        <v>97</v>
      </c>
      <c r="G613" s="84">
        <v>4860</v>
      </c>
      <c r="H613" s="84">
        <v>640</v>
      </c>
      <c r="I613" s="84">
        <v>1130</v>
      </c>
      <c r="J613" s="84">
        <v>2010</v>
      </c>
      <c r="K613" s="84">
        <v>1080</v>
      </c>
    </row>
    <row r="614" spans="1:12" x14ac:dyDescent="0.2">
      <c r="A614" s="172">
        <v>41640</v>
      </c>
      <c r="B614" s="93">
        <v>443</v>
      </c>
      <c r="C614" s="93">
        <v>30</v>
      </c>
      <c r="D614" s="93">
        <v>50</v>
      </c>
      <c r="E614" s="93">
        <v>247</v>
      </c>
      <c r="F614" s="93">
        <v>116</v>
      </c>
      <c r="G614" s="84">
        <v>4670</v>
      </c>
      <c r="H614" s="84">
        <v>610</v>
      </c>
      <c r="I614" s="84">
        <v>1070</v>
      </c>
      <c r="J614" s="84">
        <v>1960</v>
      </c>
      <c r="K614" s="84">
        <v>1030</v>
      </c>
    </row>
    <row r="615" spans="1:12" x14ac:dyDescent="0.2">
      <c r="A615" s="172">
        <v>41671</v>
      </c>
      <c r="B615" s="93">
        <v>420</v>
      </c>
      <c r="C615" s="93">
        <v>23</v>
      </c>
      <c r="D615" s="93">
        <v>57</v>
      </c>
      <c r="E615" s="93">
        <v>251</v>
      </c>
      <c r="F615" s="93">
        <v>89</v>
      </c>
      <c r="G615" s="84">
        <v>4660</v>
      </c>
      <c r="H615" s="84">
        <v>560</v>
      </c>
      <c r="I615" s="84">
        <v>1030</v>
      </c>
      <c r="J615" s="84">
        <v>1990</v>
      </c>
      <c r="K615" s="84">
        <v>1080</v>
      </c>
    </row>
    <row r="616" spans="1:12" x14ac:dyDescent="0.2">
      <c r="A616" s="172">
        <v>41699</v>
      </c>
      <c r="B616" s="93">
        <v>405</v>
      </c>
      <c r="C616" s="93">
        <v>26</v>
      </c>
      <c r="D616" s="93">
        <v>55</v>
      </c>
      <c r="E616" s="93">
        <v>237</v>
      </c>
      <c r="F616" s="93">
        <v>87</v>
      </c>
      <c r="G616" s="84">
        <v>4700</v>
      </c>
      <c r="H616" s="84">
        <v>610</v>
      </c>
      <c r="I616" s="84">
        <v>1070</v>
      </c>
      <c r="J616" s="84">
        <v>1960</v>
      </c>
      <c r="K616" s="84">
        <v>1060</v>
      </c>
    </row>
    <row r="617" spans="1:12" x14ac:dyDescent="0.2">
      <c r="A617" s="172">
        <v>41730</v>
      </c>
      <c r="B617" s="93">
        <v>403</v>
      </c>
      <c r="C617" s="93">
        <v>21</v>
      </c>
      <c r="D617" s="93">
        <v>63</v>
      </c>
      <c r="E617" s="93">
        <v>225</v>
      </c>
      <c r="F617" s="93">
        <v>94</v>
      </c>
      <c r="G617" s="84">
        <v>4750</v>
      </c>
      <c r="H617" s="84">
        <v>610</v>
      </c>
      <c r="I617" s="84">
        <v>1080</v>
      </c>
      <c r="J617" s="84">
        <v>1970</v>
      </c>
      <c r="K617" s="84">
        <v>1090</v>
      </c>
    </row>
    <row r="618" spans="1:12" x14ac:dyDescent="0.2">
      <c r="A618" s="172">
        <v>41760</v>
      </c>
      <c r="B618" s="93">
        <v>451</v>
      </c>
      <c r="C618" s="93">
        <v>36</v>
      </c>
      <c r="D618" s="93">
        <v>74</v>
      </c>
      <c r="E618" s="93">
        <v>232</v>
      </c>
      <c r="F618" s="93">
        <v>109</v>
      </c>
      <c r="G618" s="84">
        <v>4900</v>
      </c>
      <c r="H618" s="84">
        <v>620</v>
      </c>
      <c r="I618" s="84">
        <v>1130</v>
      </c>
      <c r="J618" s="84">
        <v>2040</v>
      </c>
      <c r="K618" s="84">
        <v>1110</v>
      </c>
    </row>
    <row r="619" spans="1:12" x14ac:dyDescent="0.2">
      <c r="A619" s="172">
        <v>41791</v>
      </c>
      <c r="B619" s="93">
        <v>418</v>
      </c>
      <c r="C619" s="93">
        <v>26</v>
      </c>
      <c r="D619" s="93">
        <v>54</v>
      </c>
      <c r="E619" s="93">
        <v>233</v>
      </c>
      <c r="F619" s="93">
        <v>105</v>
      </c>
      <c r="G619" s="84">
        <v>5010</v>
      </c>
      <c r="H619" s="84">
        <v>640</v>
      </c>
      <c r="I619" s="84">
        <v>1180</v>
      </c>
      <c r="J619" s="84">
        <v>2050</v>
      </c>
      <c r="K619" s="84">
        <v>1140</v>
      </c>
    </row>
    <row r="620" spans="1:12" x14ac:dyDescent="0.2">
      <c r="A620" s="172">
        <v>41821</v>
      </c>
      <c r="B620" s="93">
        <v>402</v>
      </c>
      <c r="C620" s="93">
        <v>22</v>
      </c>
      <c r="D620" s="93">
        <v>54</v>
      </c>
      <c r="E620" s="93">
        <v>226</v>
      </c>
      <c r="F620" s="93">
        <v>100</v>
      </c>
      <c r="G620" s="84">
        <v>5070</v>
      </c>
      <c r="H620" s="84">
        <v>640</v>
      </c>
      <c r="I620" s="84">
        <v>1190</v>
      </c>
      <c r="J620" s="84">
        <v>2090</v>
      </c>
      <c r="K620" s="84">
        <v>1150</v>
      </c>
    </row>
    <row r="621" spans="1:12" x14ac:dyDescent="0.2">
      <c r="A621" s="172">
        <v>41852</v>
      </c>
      <c r="B621" s="93">
        <v>456</v>
      </c>
      <c r="C621" s="93">
        <v>30</v>
      </c>
      <c r="D621" s="93">
        <v>54</v>
      </c>
      <c r="E621" s="93">
        <v>246</v>
      </c>
      <c r="F621" s="93">
        <v>126</v>
      </c>
      <c r="G621" s="84">
        <v>5000</v>
      </c>
      <c r="H621" s="84">
        <v>660</v>
      </c>
      <c r="I621" s="84">
        <v>1210</v>
      </c>
      <c r="J621" s="84">
        <v>2020</v>
      </c>
      <c r="K621" s="84">
        <v>1110</v>
      </c>
    </row>
    <row r="622" spans="1:12" x14ac:dyDescent="0.2">
      <c r="A622" s="172">
        <v>41883</v>
      </c>
      <c r="B622" s="93">
        <v>470</v>
      </c>
      <c r="C622" s="93">
        <v>32</v>
      </c>
      <c r="D622" s="93">
        <v>59</v>
      </c>
      <c r="E622" s="93">
        <v>258</v>
      </c>
      <c r="F622" s="93">
        <v>121</v>
      </c>
      <c r="G622" s="84">
        <v>5100</v>
      </c>
      <c r="H622" s="84">
        <v>680</v>
      </c>
      <c r="I622" s="84">
        <v>1170</v>
      </c>
      <c r="J622" s="84">
        <v>2090</v>
      </c>
      <c r="K622" s="84">
        <v>1160</v>
      </c>
    </row>
    <row r="623" spans="1:12" x14ac:dyDescent="0.2">
      <c r="A623" s="172">
        <v>41913</v>
      </c>
      <c r="B623" s="93">
        <v>476</v>
      </c>
      <c r="C623" s="93">
        <v>25</v>
      </c>
      <c r="D623" s="93">
        <v>64</v>
      </c>
      <c r="E623" s="93">
        <v>266</v>
      </c>
      <c r="F623" s="93">
        <v>121</v>
      </c>
      <c r="G623" s="84">
        <v>5160</v>
      </c>
      <c r="H623" s="84">
        <v>700</v>
      </c>
      <c r="I623" s="84">
        <v>1200</v>
      </c>
      <c r="J623" s="84">
        <v>2130</v>
      </c>
      <c r="K623" s="84">
        <v>1130</v>
      </c>
    </row>
    <row r="624" spans="1:12" x14ac:dyDescent="0.2">
      <c r="A624" s="172">
        <v>41944</v>
      </c>
      <c r="B624" s="93">
        <v>442</v>
      </c>
      <c r="C624" s="93">
        <v>31</v>
      </c>
      <c r="D624" s="93">
        <v>59</v>
      </c>
      <c r="E624" s="93">
        <v>229</v>
      </c>
      <c r="F624" s="93">
        <v>123</v>
      </c>
      <c r="G624" s="84">
        <v>4950</v>
      </c>
      <c r="H624" s="84">
        <v>680</v>
      </c>
      <c r="I624" s="84">
        <v>1130</v>
      </c>
      <c r="J624" s="84">
        <v>2100</v>
      </c>
      <c r="K624" s="84">
        <v>1040</v>
      </c>
    </row>
    <row r="625" spans="1:11" x14ac:dyDescent="0.2">
      <c r="A625" s="172">
        <v>41974</v>
      </c>
      <c r="B625" s="93">
        <v>497</v>
      </c>
      <c r="C625" s="93">
        <v>31</v>
      </c>
      <c r="D625" s="93">
        <v>56</v>
      </c>
      <c r="E625" s="93">
        <v>285</v>
      </c>
      <c r="F625" s="93">
        <v>125</v>
      </c>
      <c r="G625" s="84">
        <v>5070</v>
      </c>
      <c r="H625" s="84">
        <v>670</v>
      </c>
      <c r="I625" s="84">
        <v>1110</v>
      </c>
      <c r="J625" s="84">
        <v>2170</v>
      </c>
      <c r="K625" s="84">
        <v>1120</v>
      </c>
    </row>
    <row r="626" spans="1:11" x14ac:dyDescent="0.2">
      <c r="A626" s="172">
        <v>42005</v>
      </c>
      <c r="B626" s="93">
        <v>515</v>
      </c>
      <c r="C626" s="93">
        <v>14</v>
      </c>
      <c r="D626" s="93">
        <v>64</v>
      </c>
      <c r="E626" s="93">
        <v>292</v>
      </c>
      <c r="F626" s="93">
        <v>145</v>
      </c>
      <c r="G626" s="84">
        <v>4930</v>
      </c>
      <c r="H626" s="84">
        <v>630</v>
      </c>
      <c r="I626" s="84">
        <v>1100</v>
      </c>
      <c r="J626" s="84">
        <v>2120</v>
      </c>
      <c r="K626" s="84">
        <v>1080</v>
      </c>
    </row>
    <row r="627" spans="1:11" x14ac:dyDescent="0.2">
      <c r="A627" s="172">
        <v>42036</v>
      </c>
      <c r="B627" s="93">
        <v>540</v>
      </c>
      <c r="C627" s="93">
        <v>28</v>
      </c>
      <c r="D627" s="93">
        <v>53</v>
      </c>
      <c r="E627" s="93">
        <v>327</v>
      </c>
      <c r="F627" s="93">
        <v>132</v>
      </c>
      <c r="G627" s="84">
        <v>4970</v>
      </c>
      <c r="H627" s="84">
        <v>600</v>
      </c>
      <c r="I627" s="84">
        <v>1120</v>
      </c>
      <c r="J627" s="84">
        <v>2130</v>
      </c>
      <c r="K627" s="84">
        <v>1120</v>
      </c>
    </row>
    <row r="628" spans="1:11" x14ac:dyDescent="0.2">
      <c r="A628" s="172">
        <v>42064</v>
      </c>
      <c r="B628" s="93">
        <v>480</v>
      </c>
      <c r="C628" s="93">
        <v>20</v>
      </c>
      <c r="D628" s="93">
        <v>55</v>
      </c>
      <c r="E628" s="93">
        <v>274</v>
      </c>
      <c r="F628" s="93">
        <v>131</v>
      </c>
      <c r="G628" s="84">
        <v>5250</v>
      </c>
      <c r="H628" s="84">
        <v>650</v>
      </c>
      <c r="I628" s="84">
        <v>1220</v>
      </c>
      <c r="J628" s="84">
        <v>2200</v>
      </c>
      <c r="K628" s="84">
        <v>1180</v>
      </c>
    </row>
    <row r="629" spans="1:11" x14ac:dyDescent="0.2">
      <c r="A629" s="172">
        <v>42095</v>
      </c>
      <c r="B629" s="93">
        <v>502</v>
      </c>
      <c r="C629" s="93">
        <v>12</v>
      </c>
      <c r="D629" s="93">
        <v>64</v>
      </c>
      <c r="E629" s="93">
        <v>302</v>
      </c>
      <c r="F629" s="93">
        <v>124</v>
      </c>
      <c r="G629" s="84">
        <v>5140</v>
      </c>
      <c r="H629" s="84">
        <v>630</v>
      </c>
      <c r="I629" s="84">
        <v>1240</v>
      </c>
      <c r="J629" s="84">
        <v>2100</v>
      </c>
      <c r="K629" s="84">
        <v>1170</v>
      </c>
    </row>
    <row r="630" spans="1:11" x14ac:dyDescent="0.2">
      <c r="A630" s="172">
        <v>42125</v>
      </c>
      <c r="B630" s="93">
        <v>502</v>
      </c>
      <c r="C630" s="93">
        <v>26</v>
      </c>
      <c r="D630" s="93">
        <v>59</v>
      </c>
      <c r="E630" s="93">
        <v>281</v>
      </c>
      <c r="F630" s="93">
        <v>136</v>
      </c>
      <c r="G630" s="84">
        <v>5290</v>
      </c>
      <c r="H630" s="84">
        <v>690</v>
      </c>
      <c r="I630" s="84">
        <v>1260</v>
      </c>
      <c r="J630" s="84">
        <v>2140</v>
      </c>
      <c r="K630" s="84">
        <v>1200</v>
      </c>
    </row>
    <row r="631" spans="1:11" x14ac:dyDescent="0.2">
      <c r="A631" s="172">
        <v>42156</v>
      </c>
      <c r="B631" s="93">
        <v>480</v>
      </c>
      <c r="C631" s="93">
        <v>27</v>
      </c>
      <c r="D631" s="93">
        <v>61</v>
      </c>
      <c r="E631" s="93">
        <v>273</v>
      </c>
      <c r="F631" s="93">
        <v>119</v>
      </c>
      <c r="G631" s="84">
        <v>5410</v>
      </c>
      <c r="H631" s="84">
        <v>720</v>
      </c>
      <c r="I631" s="84">
        <v>1290</v>
      </c>
      <c r="J631" s="84">
        <v>2190</v>
      </c>
      <c r="K631" s="84">
        <v>1210</v>
      </c>
    </row>
    <row r="632" spans="1:11" x14ac:dyDescent="0.2">
      <c r="A632" s="172">
        <v>42186</v>
      </c>
      <c r="B632" s="93">
        <v>506</v>
      </c>
      <c r="C632" s="93">
        <v>28</v>
      </c>
      <c r="D632" s="93">
        <v>62</v>
      </c>
      <c r="E632" s="93">
        <v>288</v>
      </c>
      <c r="F632" s="93">
        <v>128</v>
      </c>
      <c r="G632" s="84">
        <v>5480</v>
      </c>
      <c r="H632" s="84">
        <v>700</v>
      </c>
      <c r="I632" s="84">
        <v>1280</v>
      </c>
      <c r="J632" s="84">
        <v>2260</v>
      </c>
      <c r="K632" s="84">
        <v>1240</v>
      </c>
    </row>
    <row r="633" spans="1:11" x14ac:dyDescent="0.2">
      <c r="A633" s="172">
        <v>42217</v>
      </c>
      <c r="B633" s="93">
        <v>518</v>
      </c>
      <c r="C633" s="93">
        <v>32</v>
      </c>
      <c r="D633" s="93">
        <v>62</v>
      </c>
      <c r="E633" s="93">
        <v>298</v>
      </c>
      <c r="F633" s="93">
        <v>126</v>
      </c>
      <c r="G633" s="84">
        <v>5290</v>
      </c>
      <c r="H633" s="84">
        <v>700</v>
      </c>
      <c r="I633" s="84">
        <v>1260</v>
      </c>
      <c r="J633" s="84">
        <v>2140</v>
      </c>
      <c r="K633" s="84">
        <v>1190</v>
      </c>
    </row>
    <row r="634" spans="1:11" x14ac:dyDescent="0.2">
      <c r="A634" s="172">
        <v>42248</v>
      </c>
      <c r="B634" s="93">
        <v>456</v>
      </c>
      <c r="C634" s="93">
        <v>20</v>
      </c>
      <c r="D634" s="93">
        <v>57</v>
      </c>
      <c r="E634" s="93">
        <v>264</v>
      </c>
      <c r="F634" s="93">
        <v>115</v>
      </c>
      <c r="G634" s="84">
        <v>5440</v>
      </c>
      <c r="H634" s="84">
        <v>740</v>
      </c>
      <c r="I634" s="84">
        <v>1290</v>
      </c>
      <c r="J634" s="84">
        <v>2180</v>
      </c>
      <c r="K634" s="84">
        <v>1230</v>
      </c>
    </row>
    <row r="635" spans="1:11" x14ac:dyDescent="0.2">
      <c r="A635" s="172">
        <v>42278</v>
      </c>
      <c r="B635" s="93">
        <v>482</v>
      </c>
      <c r="C635" s="93">
        <v>33</v>
      </c>
      <c r="D635" s="93">
        <v>60</v>
      </c>
      <c r="E635" s="93">
        <v>269</v>
      </c>
      <c r="F635" s="93">
        <v>120</v>
      </c>
      <c r="G635" s="84">
        <v>5290</v>
      </c>
      <c r="H635" s="84">
        <v>740</v>
      </c>
      <c r="I635" s="84">
        <v>1280</v>
      </c>
      <c r="J635" s="84">
        <v>2120</v>
      </c>
      <c r="K635" s="84">
        <v>1150</v>
      </c>
    </row>
    <row r="636" spans="1:11" x14ac:dyDescent="0.2">
      <c r="A636" s="172">
        <v>42309</v>
      </c>
      <c r="B636" s="93">
        <v>504</v>
      </c>
      <c r="C636" s="93">
        <v>27</v>
      </c>
      <c r="D636" s="93">
        <v>64</v>
      </c>
      <c r="E636" s="93">
        <v>270</v>
      </c>
      <c r="F636" s="93">
        <v>143</v>
      </c>
      <c r="G636" s="84">
        <v>4860</v>
      </c>
      <c r="H636" s="84">
        <v>700</v>
      </c>
      <c r="I636" s="84">
        <v>1120</v>
      </c>
      <c r="J636" s="84">
        <v>1990</v>
      </c>
      <c r="K636" s="84">
        <v>1050</v>
      </c>
    </row>
    <row r="637" spans="1:11" x14ac:dyDescent="0.2">
      <c r="A637" s="172">
        <v>42339</v>
      </c>
      <c r="B637" s="93">
        <v>546</v>
      </c>
      <c r="C637" s="93">
        <v>30</v>
      </c>
      <c r="D637" s="93">
        <v>73</v>
      </c>
      <c r="E637" s="93">
        <v>295</v>
      </c>
      <c r="F637" s="93">
        <v>148</v>
      </c>
      <c r="G637" s="84">
        <v>5450</v>
      </c>
      <c r="H637" s="84">
        <v>740</v>
      </c>
      <c r="I637" s="84">
        <v>1250</v>
      </c>
      <c r="J637" s="84">
        <v>2240</v>
      </c>
      <c r="K637" s="84">
        <v>1220</v>
      </c>
    </row>
    <row r="638" spans="1:11" x14ac:dyDescent="0.2">
      <c r="A638" s="172">
        <v>42370</v>
      </c>
      <c r="B638" s="93">
        <v>505</v>
      </c>
      <c r="C638" s="93">
        <v>33</v>
      </c>
      <c r="D638" s="93">
        <v>66</v>
      </c>
      <c r="E638" s="93">
        <v>283</v>
      </c>
      <c r="F638" s="93">
        <v>123</v>
      </c>
      <c r="G638" s="84">
        <v>5430</v>
      </c>
      <c r="H638" s="84">
        <v>730</v>
      </c>
      <c r="I638" s="84">
        <v>1310</v>
      </c>
      <c r="J638" s="84">
        <v>2220</v>
      </c>
      <c r="K638" s="84">
        <v>1170</v>
      </c>
    </row>
    <row r="639" spans="1:11" x14ac:dyDescent="0.2">
      <c r="A639" s="172">
        <v>42401</v>
      </c>
      <c r="B639" s="93">
        <v>517</v>
      </c>
      <c r="C639" s="93">
        <v>28</v>
      </c>
      <c r="D639" s="93">
        <v>56</v>
      </c>
      <c r="E639" s="93">
        <v>292</v>
      </c>
      <c r="F639" s="93">
        <v>141</v>
      </c>
      <c r="G639" s="84">
        <v>5260</v>
      </c>
      <c r="H639" s="84">
        <v>710</v>
      </c>
      <c r="I639" s="84">
        <v>1220</v>
      </c>
      <c r="J639" s="84">
        <v>2180</v>
      </c>
      <c r="K639" s="84">
        <v>1150</v>
      </c>
    </row>
    <row r="640" spans="1:11" x14ac:dyDescent="0.2">
      <c r="A640" s="172">
        <v>42430</v>
      </c>
      <c r="B640" s="93">
        <v>532</v>
      </c>
      <c r="C640" s="93">
        <v>32</v>
      </c>
      <c r="D640" s="93">
        <v>64</v>
      </c>
      <c r="E640" s="93">
        <v>308</v>
      </c>
      <c r="F640" s="93">
        <v>128</v>
      </c>
      <c r="G640" s="84">
        <v>5340</v>
      </c>
      <c r="H640" s="84">
        <v>730</v>
      </c>
      <c r="I640" s="84">
        <v>1270</v>
      </c>
      <c r="J640" s="84">
        <v>2180</v>
      </c>
      <c r="K640" s="84">
        <v>1160</v>
      </c>
    </row>
    <row r="641" spans="1:11" x14ac:dyDescent="0.2">
      <c r="A641" s="172">
        <v>42461</v>
      </c>
      <c r="B641" s="93">
        <v>576</v>
      </c>
      <c r="C641" s="93">
        <v>39</v>
      </c>
      <c r="D641" s="93">
        <v>59</v>
      </c>
      <c r="E641" s="93">
        <v>331</v>
      </c>
      <c r="F641" s="93">
        <v>147</v>
      </c>
      <c r="G641" s="84">
        <v>5470</v>
      </c>
      <c r="H641" s="84">
        <v>770</v>
      </c>
      <c r="I641" s="84">
        <v>1340</v>
      </c>
      <c r="J641" s="84">
        <v>2200</v>
      </c>
      <c r="K641" s="84">
        <v>1160</v>
      </c>
    </row>
    <row r="642" spans="1:11" x14ac:dyDescent="0.2">
      <c r="A642" s="172">
        <v>42491</v>
      </c>
      <c r="B642" s="93">
        <v>571</v>
      </c>
      <c r="C642" s="93">
        <v>34</v>
      </c>
      <c r="D642" s="93">
        <v>73</v>
      </c>
      <c r="E642" s="93">
        <v>317</v>
      </c>
      <c r="F642" s="93">
        <v>147</v>
      </c>
      <c r="G642" s="84">
        <v>5440</v>
      </c>
      <c r="H642" s="84">
        <v>750</v>
      </c>
      <c r="I642" s="84">
        <v>1300</v>
      </c>
      <c r="J642" s="84">
        <v>2220</v>
      </c>
      <c r="K642" s="84">
        <v>1170</v>
      </c>
    </row>
    <row r="643" spans="1:11" x14ac:dyDescent="0.2">
      <c r="A643" s="172">
        <v>42522</v>
      </c>
      <c r="B643" s="93">
        <v>557</v>
      </c>
      <c r="C643" s="93">
        <v>28</v>
      </c>
      <c r="D643" s="93">
        <v>79</v>
      </c>
      <c r="E643" s="93">
        <v>321</v>
      </c>
      <c r="F643" s="93">
        <v>129</v>
      </c>
      <c r="G643" s="84">
        <v>5470</v>
      </c>
      <c r="H643" s="84">
        <v>740</v>
      </c>
      <c r="I643" s="84">
        <v>1310</v>
      </c>
      <c r="J643" s="84">
        <v>2230</v>
      </c>
      <c r="K643" s="84">
        <v>1190</v>
      </c>
    </row>
    <row r="644" spans="1:11" x14ac:dyDescent="0.2">
      <c r="A644" s="172">
        <v>42552</v>
      </c>
      <c r="B644" s="93">
        <v>628</v>
      </c>
      <c r="C644" s="93">
        <v>36</v>
      </c>
      <c r="D644" s="93">
        <v>81</v>
      </c>
      <c r="E644" s="93">
        <v>364</v>
      </c>
      <c r="F644" s="93">
        <v>147</v>
      </c>
      <c r="G644" s="84">
        <v>5370</v>
      </c>
      <c r="H644" s="84">
        <v>690</v>
      </c>
      <c r="I644" s="84">
        <v>1290</v>
      </c>
      <c r="J644" s="84">
        <v>2200</v>
      </c>
      <c r="K644" s="84">
        <v>1190</v>
      </c>
    </row>
    <row r="645" spans="1:11" x14ac:dyDescent="0.2">
      <c r="A645" s="172">
        <v>42583</v>
      </c>
      <c r="B645" s="93">
        <v>575</v>
      </c>
      <c r="C645" s="93">
        <v>22</v>
      </c>
      <c r="D645" s="93">
        <v>69</v>
      </c>
      <c r="E645" s="93">
        <v>340</v>
      </c>
      <c r="F645" s="93">
        <v>144</v>
      </c>
      <c r="G645" s="84">
        <v>5400</v>
      </c>
      <c r="H645" s="84">
        <v>720</v>
      </c>
      <c r="I645" s="84">
        <v>1280</v>
      </c>
      <c r="J645" s="84">
        <v>2210</v>
      </c>
      <c r="K645" s="84">
        <v>1190</v>
      </c>
    </row>
    <row r="646" spans="1:11" x14ac:dyDescent="0.2">
      <c r="A646" s="172">
        <v>42614</v>
      </c>
      <c r="B646" s="93">
        <v>558</v>
      </c>
      <c r="C646" s="93">
        <v>32</v>
      </c>
      <c r="D646" s="93">
        <v>74</v>
      </c>
      <c r="E646" s="93">
        <v>316</v>
      </c>
      <c r="F646" s="93">
        <v>136</v>
      </c>
      <c r="G646" s="84">
        <v>5470</v>
      </c>
      <c r="H646" s="84">
        <v>730</v>
      </c>
      <c r="I646" s="84">
        <v>1310</v>
      </c>
      <c r="J646" s="84">
        <v>2200</v>
      </c>
      <c r="K646" s="84">
        <v>1230</v>
      </c>
    </row>
    <row r="647" spans="1:11" x14ac:dyDescent="0.2">
      <c r="A647" s="172">
        <v>42644</v>
      </c>
      <c r="B647" s="93">
        <v>575</v>
      </c>
      <c r="C647" s="93">
        <v>36</v>
      </c>
      <c r="D647" s="93">
        <v>70</v>
      </c>
      <c r="E647" s="93">
        <v>329</v>
      </c>
      <c r="F647" s="93">
        <v>140</v>
      </c>
      <c r="G647" s="84">
        <v>5560</v>
      </c>
      <c r="H647" s="84">
        <v>740</v>
      </c>
      <c r="I647" s="84">
        <v>1330</v>
      </c>
      <c r="J647" s="84">
        <v>2250</v>
      </c>
      <c r="K647" s="84">
        <v>1240</v>
      </c>
    </row>
    <row r="648" spans="1:11" x14ac:dyDescent="0.2">
      <c r="A648" s="172">
        <v>42675</v>
      </c>
      <c r="B648" s="93">
        <v>571</v>
      </c>
      <c r="C648" s="93">
        <v>30</v>
      </c>
      <c r="D648" s="93">
        <v>75</v>
      </c>
      <c r="E648" s="93">
        <v>302</v>
      </c>
      <c r="F648" s="93">
        <v>164</v>
      </c>
      <c r="G648" s="84">
        <v>5510</v>
      </c>
      <c r="H648" s="84">
        <v>740</v>
      </c>
      <c r="I648" s="84">
        <v>1300</v>
      </c>
      <c r="J648" s="84">
        <v>2240</v>
      </c>
      <c r="K648" s="84">
        <v>1230</v>
      </c>
    </row>
    <row r="649" spans="1:11" x14ac:dyDescent="0.2">
      <c r="A649" s="172">
        <v>42705</v>
      </c>
      <c r="B649" s="93">
        <v>561</v>
      </c>
      <c r="C649" s="93">
        <v>37</v>
      </c>
      <c r="D649" s="93">
        <v>67</v>
      </c>
      <c r="E649" s="93">
        <v>297</v>
      </c>
      <c r="F649" s="93">
        <v>160</v>
      </c>
      <c r="G649" s="84">
        <v>5520</v>
      </c>
      <c r="H649" s="84">
        <v>750</v>
      </c>
      <c r="I649" s="84">
        <v>1300</v>
      </c>
      <c r="J649" s="84">
        <v>2250</v>
      </c>
      <c r="K649" s="84">
        <v>1220</v>
      </c>
    </row>
    <row r="650" spans="1:11" x14ac:dyDescent="0.2">
      <c r="A650" s="172">
        <v>42736</v>
      </c>
      <c r="B650" s="93">
        <v>573</v>
      </c>
      <c r="C650" s="93">
        <v>41</v>
      </c>
      <c r="D650" s="93">
        <v>67</v>
      </c>
      <c r="E650" s="93">
        <v>335</v>
      </c>
      <c r="F650" s="93">
        <v>130</v>
      </c>
      <c r="G650" s="84">
        <v>5670</v>
      </c>
      <c r="H650" s="84">
        <v>770</v>
      </c>
      <c r="I650" s="84">
        <v>1340</v>
      </c>
      <c r="J650" s="84">
        <v>2310</v>
      </c>
      <c r="K650" s="84">
        <v>1250</v>
      </c>
    </row>
    <row r="651" spans="1:11" x14ac:dyDescent="0.2">
      <c r="A651" s="172">
        <v>42767</v>
      </c>
      <c r="B651" s="93">
        <v>587</v>
      </c>
      <c r="C651" s="93">
        <v>32</v>
      </c>
      <c r="D651" s="93">
        <v>81</v>
      </c>
      <c r="E651" s="93">
        <v>322</v>
      </c>
      <c r="F651" s="93">
        <v>152</v>
      </c>
      <c r="G651" s="84">
        <v>5450</v>
      </c>
      <c r="H651" s="84">
        <v>720</v>
      </c>
      <c r="I651" s="84">
        <v>1230</v>
      </c>
      <c r="J651" s="84">
        <v>2290</v>
      </c>
      <c r="K651" s="84">
        <v>1210</v>
      </c>
    </row>
    <row r="652" spans="1:11" x14ac:dyDescent="0.2">
      <c r="A652" s="172">
        <v>42795</v>
      </c>
      <c r="B652" s="93">
        <v>632</v>
      </c>
      <c r="C652" s="93">
        <v>40</v>
      </c>
      <c r="D652" s="93">
        <v>79</v>
      </c>
      <c r="E652" s="93">
        <v>336</v>
      </c>
      <c r="F652" s="93">
        <v>177</v>
      </c>
      <c r="G652" s="84">
        <v>5610</v>
      </c>
      <c r="H652" s="84">
        <v>750</v>
      </c>
      <c r="I652" s="84">
        <v>1310</v>
      </c>
      <c r="J652" s="84">
        <v>2330</v>
      </c>
      <c r="K652" s="84">
        <v>1220</v>
      </c>
    </row>
    <row r="653" spans="1:11" x14ac:dyDescent="0.2">
      <c r="A653" s="172">
        <v>42826</v>
      </c>
      <c r="B653" s="93">
        <v>598</v>
      </c>
      <c r="C653" s="93">
        <v>37</v>
      </c>
      <c r="D653" s="93">
        <v>71</v>
      </c>
      <c r="E653" s="93">
        <v>339</v>
      </c>
      <c r="F653" s="93">
        <v>151</v>
      </c>
      <c r="G653" s="84">
        <v>5560</v>
      </c>
      <c r="H653" s="84">
        <v>760</v>
      </c>
      <c r="I653" s="84">
        <v>1330</v>
      </c>
      <c r="J653" s="84">
        <v>2280</v>
      </c>
      <c r="K653" s="84">
        <v>1190</v>
      </c>
    </row>
    <row r="654" spans="1:11" x14ac:dyDescent="0.2">
      <c r="A654" s="172">
        <v>42856</v>
      </c>
      <c r="B654" s="93">
        <v>635</v>
      </c>
      <c r="C654" s="93">
        <v>44</v>
      </c>
      <c r="D654" s="93">
        <v>62</v>
      </c>
      <c r="E654" s="93">
        <v>360</v>
      </c>
      <c r="F654" s="93">
        <v>169</v>
      </c>
      <c r="G654" s="84">
        <v>5590</v>
      </c>
      <c r="H654" s="84">
        <v>770</v>
      </c>
      <c r="I654" s="84">
        <v>1300</v>
      </c>
      <c r="J654" s="84">
        <v>2300</v>
      </c>
      <c r="K654" s="84">
        <v>1220</v>
      </c>
    </row>
    <row r="655" spans="1:11" x14ac:dyDescent="0.2">
      <c r="A655" s="172">
        <v>42887</v>
      </c>
      <c r="B655" s="93">
        <v>619</v>
      </c>
      <c r="C655" s="93">
        <v>44</v>
      </c>
      <c r="D655" s="93">
        <v>68</v>
      </c>
      <c r="E655" s="93">
        <v>332</v>
      </c>
      <c r="F655" s="93">
        <v>175</v>
      </c>
      <c r="G655" s="84">
        <v>5490</v>
      </c>
      <c r="H655" s="84">
        <v>740</v>
      </c>
      <c r="I655" s="84">
        <v>1310</v>
      </c>
      <c r="J655" s="84">
        <v>2230</v>
      </c>
      <c r="K655" s="84">
        <v>1210</v>
      </c>
    </row>
    <row r="656" spans="1:11" x14ac:dyDescent="0.2">
      <c r="A656" s="172">
        <v>42917</v>
      </c>
      <c r="B656" s="93">
        <v>572</v>
      </c>
      <c r="C656" s="93">
        <v>42</v>
      </c>
      <c r="D656" s="93">
        <v>68</v>
      </c>
      <c r="E656" s="93">
        <v>314</v>
      </c>
      <c r="F656" s="93">
        <v>148</v>
      </c>
      <c r="G656" s="84">
        <v>5460</v>
      </c>
      <c r="H656" s="84">
        <v>700</v>
      </c>
      <c r="I656" s="84">
        <v>1290</v>
      </c>
      <c r="J656" s="84">
        <v>2260</v>
      </c>
      <c r="K656" s="84">
        <v>1210</v>
      </c>
    </row>
    <row r="657" spans="1:11" x14ac:dyDescent="0.2">
      <c r="A657" s="172">
        <v>42948</v>
      </c>
      <c r="B657" s="93">
        <v>556</v>
      </c>
      <c r="C657" s="93">
        <v>34</v>
      </c>
      <c r="D657" s="93">
        <v>73</v>
      </c>
      <c r="E657" s="93">
        <v>308</v>
      </c>
      <c r="F657" s="93">
        <v>141</v>
      </c>
      <c r="G657" s="84">
        <v>5390</v>
      </c>
      <c r="H657" s="84">
        <v>720</v>
      </c>
      <c r="I657" s="84">
        <v>1280</v>
      </c>
      <c r="J657" s="84">
        <v>2190</v>
      </c>
      <c r="K657" s="84">
        <v>1200</v>
      </c>
    </row>
    <row r="658" spans="1:11" x14ac:dyDescent="0.2">
      <c r="A658" s="172">
        <v>42979</v>
      </c>
      <c r="B658" s="93">
        <v>637</v>
      </c>
      <c r="C658" s="93">
        <v>41</v>
      </c>
      <c r="D658" s="93">
        <v>75</v>
      </c>
      <c r="E658" s="93">
        <v>357</v>
      </c>
      <c r="F658" s="93">
        <v>164</v>
      </c>
      <c r="G658" s="84">
        <v>5450</v>
      </c>
      <c r="H658" s="84">
        <v>730</v>
      </c>
      <c r="I658" s="84">
        <v>1290</v>
      </c>
      <c r="J658" s="84">
        <v>2190</v>
      </c>
      <c r="K658" s="84">
        <v>1240</v>
      </c>
    </row>
    <row r="659" spans="1:11" x14ac:dyDescent="0.2">
      <c r="A659" s="172">
        <v>43009</v>
      </c>
      <c r="B659" s="93">
        <v>626</v>
      </c>
      <c r="C659" s="93">
        <v>45</v>
      </c>
      <c r="D659" s="93">
        <v>75</v>
      </c>
      <c r="E659" s="93">
        <v>358</v>
      </c>
      <c r="F659" s="93">
        <v>148</v>
      </c>
      <c r="G659" s="84">
        <v>5460</v>
      </c>
      <c r="H659" s="84">
        <v>730</v>
      </c>
      <c r="I659" s="84">
        <v>1300</v>
      </c>
      <c r="J659" s="84">
        <v>2190</v>
      </c>
      <c r="K659" s="84">
        <v>1240</v>
      </c>
    </row>
    <row r="660" spans="1:11" x14ac:dyDescent="0.2">
      <c r="A660" s="172">
        <v>43040</v>
      </c>
      <c r="B660" s="93">
        <v>711</v>
      </c>
      <c r="C660" s="93">
        <v>42</v>
      </c>
      <c r="D660" s="93">
        <v>79</v>
      </c>
      <c r="E660" s="93">
        <v>367</v>
      </c>
      <c r="F660" s="93">
        <v>223</v>
      </c>
      <c r="G660" s="84">
        <v>5620</v>
      </c>
      <c r="H660" s="84">
        <v>730</v>
      </c>
      <c r="I660" s="84">
        <v>1330</v>
      </c>
      <c r="J660" s="84">
        <v>2320</v>
      </c>
      <c r="K660" s="84">
        <v>1240</v>
      </c>
    </row>
    <row r="661" spans="1:11" x14ac:dyDescent="0.2">
      <c r="A661" s="172">
        <v>43070</v>
      </c>
      <c r="B661" s="93">
        <v>630</v>
      </c>
      <c r="C661" s="93">
        <v>36</v>
      </c>
      <c r="D661" s="93">
        <v>64</v>
      </c>
      <c r="E661" s="93">
        <v>347</v>
      </c>
      <c r="F661" s="93">
        <v>183</v>
      </c>
      <c r="G661" s="84">
        <v>5570</v>
      </c>
      <c r="H661" s="84">
        <v>710</v>
      </c>
      <c r="I661" s="84">
        <v>1310</v>
      </c>
      <c r="J661" s="84">
        <v>2320</v>
      </c>
      <c r="K661" s="84">
        <v>1230</v>
      </c>
    </row>
    <row r="662" spans="1:11" x14ac:dyDescent="0.2">
      <c r="A662" s="172">
        <v>43101</v>
      </c>
      <c r="B662" s="93">
        <v>590</v>
      </c>
      <c r="C662" s="93">
        <v>33</v>
      </c>
      <c r="D662" s="93">
        <v>78</v>
      </c>
      <c r="E662" s="93">
        <v>305</v>
      </c>
      <c r="F662" s="93">
        <v>174</v>
      </c>
      <c r="G662" s="84">
        <v>5450</v>
      </c>
      <c r="H662" s="84">
        <v>710</v>
      </c>
      <c r="I662" s="84">
        <v>1290</v>
      </c>
      <c r="J662" s="84">
        <v>2310</v>
      </c>
      <c r="K662" s="84">
        <v>1140</v>
      </c>
    </row>
    <row r="663" spans="1:11" x14ac:dyDescent="0.2">
      <c r="A663" s="172">
        <v>43132</v>
      </c>
      <c r="B663" s="93">
        <v>618</v>
      </c>
      <c r="C663" s="93">
        <v>39</v>
      </c>
      <c r="D663" s="93">
        <v>74</v>
      </c>
      <c r="E663" s="93">
        <v>344</v>
      </c>
      <c r="F663" s="93">
        <v>161</v>
      </c>
      <c r="G663" s="84">
        <v>5520</v>
      </c>
      <c r="H663" s="84">
        <v>670</v>
      </c>
      <c r="I663" s="84">
        <v>1240</v>
      </c>
      <c r="J663" s="84">
        <v>2370</v>
      </c>
      <c r="K663" s="84">
        <v>1240</v>
      </c>
    </row>
    <row r="664" spans="1:11" x14ac:dyDescent="0.2">
      <c r="A664" s="172">
        <v>43160</v>
      </c>
      <c r="B664" s="93">
        <v>679</v>
      </c>
      <c r="C664" s="93">
        <v>34</v>
      </c>
      <c r="D664" s="93">
        <v>81</v>
      </c>
      <c r="E664" s="93">
        <v>379</v>
      </c>
      <c r="F664" s="93">
        <v>185</v>
      </c>
      <c r="G664" s="84">
        <v>5540</v>
      </c>
      <c r="H664" s="84">
        <v>690</v>
      </c>
      <c r="I664" s="84">
        <v>1290</v>
      </c>
      <c r="J664" s="84">
        <v>2340</v>
      </c>
      <c r="K664" s="84">
        <v>1220</v>
      </c>
    </row>
    <row r="665" spans="1:11" x14ac:dyDescent="0.2">
      <c r="A665" s="172">
        <v>43191</v>
      </c>
      <c r="B665" s="93">
        <v>642</v>
      </c>
      <c r="C665" s="93">
        <v>32</v>
      </c>
      <c r="D665" s="93">
        <v>86</v>
      </c>
      <c r="E665" s="93">
        <v>356</v>
      </c>
      <c r="F665" s="93">
        <v>168</v>
      </c>
      <c r="G665" s="84">
        <v>5430</v>
      </c>
      <c r="H665" s="84">
        <v>670</v>
      </c>
      <c r="I665" s="84">
        <v>1290</v>
      </c>
      <c r="J665" s="84">
        <v>2290</v>
      </c>
      <c r="K665" s="84">
        <v>1180</v>
      </c>
    </row>
    <row r="666" spans="1:11" x14ac:dyDescent="0.2">
      <c r="A666" s="172">
        <v>43221</v>
      </c>
      <c r="B666" s="93">
        <v>662</v>
      </c>
      <c r="C666" s="93">
        <v>34</v>
      </c>
      <c r="D666" s="93">
        <v>84</v>
      </c>
      <c r="E666" s="93">
        <v>384</v>
      </c>
      <c r="F666" s="93">
        <v>160</v>
      </c>
      <c r="G666" s="84">
        <v>5390</v>
      </c>
      <c r="H666" s="84">
        <v>670</v>
      </c>
      <c r="I666" s="84">
        <v>1280</v>
      </c>
      <c r="J666" s="84">
        <v>2280</v>
      </c>
      <c r="K666" s="84">
        <v>1160</v>
      </c>
    </row>
    <row r="667" spans="1:11" x14ac:dyDescent="0.2">
      <c r="A667" s="172">
        <v>43252</v>
      </c>
      <c r="B667" s="93">
        <v>636</v>
      </c>
      <c r="C667" s="93">
        <v>49</v>
      </c>
      <c r="D667" s="93">
        <v>70</v>
      </c>
      <c r="E667" s="93">
        <v>361</v>
      </c>
      <c r="F667" s="93">
        <v>156</v>
      </c>
      <c r="G667" s="84">
        <v>5430</v>
      </c>
      <c r="H667" s="84">
        <v>710</v>
      </c>
      <c r="I667" s="84">
        <v>1290</v>
      </c>
      <c r="J667" s="84">
        <v>2270</v>
      </c>
      <c r="K667" s="84">
        <v>1160</v>
      </c>
    </row>
    <row r="668" spans="1:11" x14ac:dyDescent="0.2">
      <c r="A668" s="172">
        <v>43282</v>
      </c>
      <c r="B668" s="93">
        <v>628</v>
      </c>
      <c r="C668" s="93">
        <v>25</v>
      </c>
      <c r="D668" s="93">
        <v>75</v>
      </c>
      <c r="E668" s="93">
        <v>356</v>
      </c>
      <c r="F668" s="93">
        <v>172</v>
      </c>
      <c r="G668" s="84">
        <v>5350</v>
      </c>
      <c r="H668" s="84">
        <v>690</v>
      </c>
      <c r="I668" s="84">
        <v>1260</v>
      </c>
      <c r="J668" s="84">
        <v>2240</v>
      </c>
      <c r="K668" s="84">
        <v>1160</v>
      </c>
    </row>
    <row r="669" spans="1:11" x14ac:dyDescent="0.2">
      <c r="A669" s="172">
        <v>43313</v>
      </c>
      <c r="B669" s="93">
        <v>593</v>
      </c>
      <c r="C669" s="93">
        <v>31</v>
      </c>
      <c r="D669" s="93">
        <v>69</v>
      </c>
      <c r="E669" s="93">
        <v>329</v>
      </c>
      <c r="F669" s="93">
        <v>164</v>
      </c>
      <c r="G669" s="84">
        <v>5300</v>
      </c>
      <c r="H669" s="84">
        <v>690</v>
      </c>
      <c r="I669" s="84">
        <v>1280</v>
      </c>
      <c r="J669" s="84">
        <v>2210</v>
      </c>
      <c r="K669" s="84">
        <v>1120</v>
      </c>
    </row>
    <row r="670" spans="1:11" x14ac:dyDescent="0.2">
      <c r="A670" s="172">
        <v>43344</v>
      </c>
      <c r="B670" s="93">
        <v>595</v>
      </c>
      <c r="C670" s="93">
        <v>28</v>
      </c>
      <c r="D670" s="93">
        <v>88</v>
      </c>
      <c r="E670" s="93">
        <v>324</v>
      </c>
      <c r="F670" s="93">
        <v>155</v>
      </c>
      <c r="G670" s="84">
        <v>5240</v>
      </c>
      <c r="H670" s="84">
        <v>690</v>
      </c>
      <c r="I670" s="84">
        <v>1270</v>
      </c>
      <c r="J670" s="84">
        <v>2190</v>
      </c>
      <c r="K670" s="84">
        <v>1090</v>
      </c>
    </row>
    <row r="671" spans="1:11" x14ac:dyDescent="0.2">
      <c r="A671" s="172">
        <v>43374</v>
      </c>
      <c r="B671" s="93">
        <v>554</v>
      </c>
      <c r="C671" s="93">
        <v>24</v>
      </c>
      <c r="D671" s="93">
        <v>63</v>
      </c>
      <c r="E671" s="93">
        <v>308</v>
      </c>
      <c r="F671" s="93">
        <v>159</v>
      </c>
      <c r="G671" s="84">
        <v>5190</v>
      </c>
      <c r="H671" s="84">
        <v>680</v>
      </c>
      <c r="I671" s="84">
        <v>1250</v>
      </c>
      <c r="J671" s="84">
        <v>2160</v>
      </c>
      <c r="K671" s="84">
        <v>1100</v>
      </c>
    </row>
    <row r="672" spans="1:11" x14ac:dyDescent="0.2">
      <c r="A672" s="172">
        <v>43405</v>
      </c>
      <c r="B672" s="93">
        <v>625</v>
      </c>
      <c r="C672" s="93">
        <v>32</v>
      </c>
      <c r="D672" s="93">
        <v>72</v>
      </c>
      <c r="E672" s="93">
        <v>380</v>
      </c>
      <c r="F672" s="93">
        <v>141</v>
      </c>
      <c r="G672" s="84">
        <v>5160</v>
      </c>
      <c r="H672" s="84">
        <v>700</v>
      </c>
      <c r="I672" s="84">
        <v>1260</v>
      </c>
      <c r="J672" s="84">
        <v>2150</v>
      </c>
      <c r="K672" s="84">
        <v>1050</v>
      </c>
    </row>
    <row r="673" spans="1:11" x14ac:dyDescent="0.2">
      <c r="A673" s="172">
        <v>43435</v>
      </c>
      <c r="B673" s="93">
        <v>546</v>
      </c>
      <c r="C673" s="93">
        <v>27</v>
      </c>
      <c r="D673" s="93">
        <v>62</v>
      </c>
      <c r="E673" s="93">
        <v>342</v>
      </c>
      <c r="F673" s="93">
        <v>115</v>
      </c>
      <c r="G673" s="84">
        <v>5010</v>
      </c>
      <c r="H673" s="84">
        <v>670</v>
      </c>
      <c r="I673" s="84">
        <v>1170</v>
      </c>
      <c r="J673" s="84">
        <v>2130</v>
      </c>
      <c r="K673" s="84">
        <v>1040</v>
      </c>
    </row>
    <row r="674" spans="1:11" x14ac:dyDescent="0.2">
      <c r="A674" s="172">
        <v>43466</v>
      </c>
      <c r="B674" s="93">
        <v>591</v>
      </c>
      <c r="C674" s="93">
        <v>28</v>
      </c>
      <c r="D674" s="93">
        <v>58</v>
      </c>
      <c r="E674" s="93">
        <v>356</v>
      </c>
      <c r="F674" s="93">
        <v>149</v>
      </c>
      <c r="G674" s="84">
        <v>4980</v>
      </c>
      <c r="H674" s="84">
        <v>680</v>
      </c>
      <c r="I674" s="84">
        <v>1190</v>
      </c>
      <c r="J674" s="84">
        <v>2130</v>
      </c>
      <c r="K674" s="84">
        <v>980</v>
      </c>
    </row>
    <row r="675" spans="1:11" x14ac:dyDescent="0.2">
      <c r="A675" s="172">
        <v>43497</v>
      </c>
      <c r="B675" s="93">
        <v>638</v>
      </c>
      <c r="C675" s="93">
        <v>30</v>
      </c>
      <c r="D675" s="93">
        <v>71</v>
      </c>
      <c r="E675" s="93">
        <v>366</v>
      </c>
      <c r="F675" s="93">
        <v>171</v>
      </c>
      <c r="G675" s="84">
        <v>5380</v>
      </c>
      <c r="H675" s="84">
        <v>680</v>
      </c>
      <c r="I675" s="84">
        <v>1240</v>
      </c>
      <c r="J675" s="84">
        <v>2330</v>
      </c>
      <c r="K675" s="84">
        <v>1130</v>
      </c>
    </row>
    <row r="676" spans="1:11" x14ac:dyDescent="0.2">
      <c r="A676" s="172">
        <v>43525</v>
      </c>
      <c r="B676" s="93">
        <v>705</v>
      </c>
      <c r="C676" s="93">
        <v>25</v>
      </c>
      <c r="D676" s="93">
        <v>84</v>
      </c>
      <c r="E676" s="93">
        <v>387</v>
      </c>
      <c r="F676" s="93">
        <v>209</v>
      </c>
      <c r="G676" s="84">
        <v>5230</v>
      </c>
      <c r="H676" s="84">
        <v>670</v>
      </c>
      <c r="I676" s="84">
        <v>1200</v>
      </c>
      <c r="J676" s="84">
        <v>2270</v>
      </c>
      <c r="K676" s="84">
        <v>1090</v>
      </c>
    </row>
    <row r="677" spans="1:11" x14ac:dyDescent="0.2">
      <c r="A677" s="172">
        <v>43556</v>
      </c>
      <c r="B677" s="93">
        <v>695</v>
      </c>
      <c r="C677" s="93">
        <v>33</v>
      </c>
      <c r="D677" s="93">
        <v>72</v>
      </c>
      <c r="E677" s="93">
        <v>374</v>
      </c>
      <c r="F677" s="93">
        <v>216</v>
      </c>
      <c r="G677" s="84">
        <v>5230</v>
      </c>
      <c r="H677" s="84">
        <v>660</v>
      </c>
      <c r="I677" s="84">
        <v>1200</v>
      </c>
      <c r="J677" s="84">
        <v>2260</v>
      </c>
      <c r="K677" s="84">
        <v>1110</v>
      </c>
    </row>
    <row r="678" spans="1:11" x14ac:dyDescent="0.2">
      <c r="A678" s="172">
        <v>43586</v>
      </c>
      <c r="B678" s="93">
        <v>602</v>
      </c>
      <c r="C678" s="93">
        <v>22</v>
      </c>
      <c r="D678" s="93">
        <v>68</v>
      </c>
      <c r="E678" s="93">
        <v>372</v>
      </c>
      <c r="F678" s="93">
        <v>140</v>
      </c>
      <c r="G678" s="84">
        <v>5330</v>
      </c>
      <c r="H678" s="84">
        <v>670</v>
      </c>
      <c r="I678" s="84">
        <v>1240</v>
      </c>
      <c r="J678" s="84">
        <v>2310</v>
      </c>
      <c r="K678" s="84">
        <v>1110</v>
      </c>
    </row>
    <row r="679" spans="1:11" x14ac:dyDescent="0.2">
      <c r="A679" s="172">
        <v>43617</v>
      </c>
      <c r="B679" s="93">
        <v>763</v>
      </c>
      <c r="C679" s="93">
        <v>28</v>
      </c>
      <c r="D679" s="93">
        <v>64</v>
      </c>
      <c r="E679" s="93">
        <v>469</v>
      </c>
      <c r="F679" s="93">
        <v>202</v>
      </c>
      <c r="G679" s="84">
        <v>5320</v>
      </c>
      <c r="H679" s="84">
        <v>680</v>
      </c>
      <c r="I679" s="84">
        <v>1270</v>
      </c>
      <c r="J679" s="84">
        <v>2270</v>
      </c>
      <c r="K679" s="84">
        <v>1100</v>
      </c>
    </row>
    <row r="680" spans="1:11" x14ac:dyDescent="0.2">
      <c r="A680" s="172">
        <v>43647</v>
      </c>
      <c r="B680" s="93">
        <v>669</v>
      </c>
      <c r="C680" s="93">
        <v>33</v>
      </c>
      <c r="D680" s="93">
        <v>72</v>
      </c>
      <c r="E680" s="93">
        <v>403</v>
      </c>
      <c r="F680" s="93">
        <v>161</v>
      </c>
      <c r="G680" s="84">
        <v>5390</v>
      </c>
      <c r="H680" s="84">
        <v>680</v>
      </c>
      <c r="I680" s="84">
        <v>1260</v>
      </c>
      <c r="J680" s="84">
        <v>2300</v>
      </c>
      <c r="K680" s="84">
        <v>1150</v>
      </c>
    </row>
    <row r="681" spans="1:11" x14ac:dyDescent="0.2">
      <c r="A681" s="172">
        <v>43678</v>
      </c>
      <c r="B681" s="93">
        <v>720</v>
      </c>
      <c r="C681" s="93">
        <v>33</v>
      </c>
      <c r="D681" s="93">
        <v>68</v>
      </c>
      <c r="E681" s="93">
        <v>432</v>
      </c>
      <c r="F681" s="93">
        <v>187</v>
      </c>
      <c r="G681" s="84">
        <v>5430</v>
      </c>
      <c r="H681" s="84">
        <v>700</v>
      </c>
      <c r="I681" s="84">
        <v>1290</v>
      </c>
      <c r="J681" s="84">
        <v>2300</v>
      </c>
      <c r="K681" s="84">
        <v>1140</v>
      </c>
    </row>
    <row r="682" spans="1:11" x14ac:dyDescent="0.2">
      <c r="A682" s="172">
        <v>43709</v>
      </c>
      <c r="B682" s="93">
        <v>715</v>
      </c>
      <c r="C682" s="93">
        <v>35</v>
      </c>
      <c r="D682" s="93">
        <v>70</v>
      </c>
      <c r="E682" s="93">
        <v>433</v>
      </c>
      <c r="F682" s="93">
        <v>177</v>
      </c>
      <c r="G682" s="84">
        <v>5410</v>
      </c>
      <c r="H682" s="84">
        <v>700</v>
      </c>
      <c r="I682" s="84">
        <v>1260</v>
      </c>
      <c r="J682" s="84">
        <v>2290</v>
      </c>
      <c r="K682" s="84">
        <v>1160</v>
      </c>
    </row>
    <row r="683" spans="1:11" x14ac:dyDescent="0.2">
      <c r="A683" s="172">
        <v>43739</v>
      </c>
      <c r="B683" s="93">
        <v>721</v>
      </c>
      <c r="C683" s="93">
        <v>23</v>
      </c>
      <c r="D683" s="93">
        <v>72</v>
      </c>
      <c r="E683" s="93">
        <v>427</v>
      </c>
      <c r="F683" s="93">
        <v>199</v>
      </c>
      <c r="G683" s="84">
        <v>5410</v>
      </c>
      <c r="H683" s="84">
        <v>690</v>
      </c>
      <c r="I683" s="84">
        <v>1280</v>
      </c>
      <c r="J683" s="84">
        <v>2300</v>
      </c>
      <c r="K683" s="84">
        <v>1140</v>
      </c>
    </row>
    <row r="684" spans="1:11" x14ac:dyDescent="0.2">
      <c r="A684" s="172">
        <v>43770</v>
      </c>
      <c r="B684" s="93">
        <v>710</v>
      </c>
      <c r="C684" s="93">
        <v>35</v>
      </c>
      <c r="D684" s="93">
        <v>85</v>
      </c>
      <c r="E684" s="93">
        <v>410</v>
      </c>
      <c r="F684" s="93">
        <v>180</v>
      </c>
      <c r="G684" s="84">
        <v>5320</v>
      </c>
      <c r="H684" s="84">
        <v>700</v>
      </c>
      <c r="I684" s="84">
        <v>1280</v>
      </c>
      <c r="J684" s="84">
        <v>2240</v>
      </c>
      <c r="K684" s="84">
        <v>1100</v>
      </c>
    </row>
    <row r="685" spans="1:11" x14ac:dyDescent="0.2">
      <c r="A685" s="172">
        <v>43800</v>
      </c>
      <c r="B685" s="93">
        <v>693</v>
      </c>
      <c r="C685" s="93">
        <v>39</v>
      </c>
      <c r="D685" s="93">
        <v>85</v>
      </c>
      <c r="E685" s="93">
        <v>376</v>
      </c>
      <c r="F685" s="93">
        <v>193</v>
      </c>
      <c r="G685" s="84">
        <v>5530</v>
      </c>
      <c r="H685" s="84">
        <v>730</v>
      </c>
      <c r="I685" s="84">
        <v>1260</v>
      </c>
      <c r="J685" s="84">
        <v>2370</v>
      </c>
      <c r="K685" s="84">
        <v>1170</v>
      </c>
    </row>
    <row r="686" spans="1:11" x14ac:dyDescent="0.2">
      <c r="A686" s="172">
        <v>43831</v>
      </c>
      <c r="B686" s="93">
        <v>685</v>
      </c>
      <c r="C686" s="93">
        <v>32</v>
      </c>
      <c r="D686" s="93">
        <v>80</v>
      </c>
      <c r="E686" s="93">
        <v>359</v>
      </c>
      <c r="F686" s="93">
        <v>214</v>
      </c>
      <c r="G686" s="84">
        <v>5410</v>
      </c>
      <c r="H686" s="84">
        <v>700</v>
      </c>
      <c r="I686" s="84">
        <v>1280</v>
      </c>
      <c r="J686" s="84">
        <v>2350</v>
      </c>
      <c r="K686" s="84">
        <v>1080</v>
      </c>
    </row>
    <row r="687" spans="1:11" x14ac:dyDescent="0.2">
      <c r="A687" s="172">
        <v>43862</v>
      </c>
      <c r="B687" s="93">
        <v>699</v>
      </c>
      <c r="C687" s="93">
        <v>38</v>
      </c>
      <c r="D687" s="93">
        <v>77</v>
      </c>
      <c r="E687" s="93">
        <v>378</v>
      </c>
      <c r="F687" s="93">
        <v>206</v>
      </c>
      <c r="G687" s="84">
        <v>5700</v>
      </c>
      <c r="H687" s="84">
        <v>680</v>
      </c>
      <c r="I687" s="84">
        <v>1280</v>
      </c>
      <c r="J687" s="84">
        <v>2520</v>
      </c>
      <c r="K687" s="84">
        <v>1220</v>
      </c>
    </row>
    <row r="688" spans="1:11" x14ac:dyDescent="0.2">
      <c r="A688" s="172">
        <v>43891</v>
      </c>
      <c r="B688" s="93">
        <v>609</v>
      </c>
      <c r="C688" s="93">
        <v>22</v>
      </c>
      <c r="D688" s="93">
        <v>74</v>
      </c>
      <c r="E688" s="93">
        <v>356</v>
      </c>
      <c r="F688" s="93">
        <v>157</v>
      </c>
      <c r="G688" s="84">
        <v>5350</v>
      </c>
      <c r="H688" s="84">
        <v>650</v>
      </c>
      <c r="I688" s="84">
        <v>1270</v>
      </c>
      <c r="J688" s="84">
        <v>2330</v>
      </c>
      <c r="K688" s="84">
        <v>1100</v>
      </c>
    </row>
    <row r="689" spans="1:17" x14ac:dyDescent="0.2">
      <c r="A689" s="172">
        <v>43922</v>
      </c>
      <c r="B689" s="93">
        <v>569</v>
      </c>
      <c r="C689" s="93">
        <v>22</v>
      </c>
      <c r="D689" s="93">
        <v>68</v>
      </c>
      <c r="E689" s="93">
        <v>324</v>
      </c>
      <c r="F689" s="93">
        <v>155</v>
      </c>
      <c r="G689" s="84">
        <v>4370</v>
      </c>
      <c r="H689" s="84">
        <v>560</v>
      </c>
      <c r="I689" s="84">
        <v>1140</v>
      </c>
      <c r="J689" s="84">
        <v>1870</v>
      </c>
      <c r="K689" s="84">
        <v>800</v>
      </c>
    </row>
    <row r="690" spans="1:17" s="85" customFormat="1" x14ac:dyDescent="0.2">
      <c r="A690" s="175">
        <v>43952</v>
      </c>
      <c r="B690" s="93">
        <v>696</v>
      </c>
      <c r="C690" s="93">
        <v>32</v>
      </c>
      <c r="D690" s="93">
        <v>78</v>
      </c>
      <c r="E690" s="93">
        <v>402</v>
      </c>
      <c r="F690" s="93">
        <v>184</v>
      </c>
      <c r="G690" s="85">
        <v>4010</v>
      </c>
      <c r="H690" s="85">
        <v>490</v>
      </c>
      <c r="I690" s="85">
        <v>1030</v>
      </c>
      <c r="J690" s="85">
        <v>1760</v>
      </c>
      <c r="K690" s="85">
        <v>730</v>
      </c>
    </row>
    <row r="691" spans="1:17" s="85" customFormat="1" x14ac:dyDescent="0.2">
      <c r="A691" s="175">
        <v>43983</v>
      </c>
      <c r="B691" s="93">
        <v>936</v>
      </c>
      <c r="C691" s="93">
        <v>59</v>
      </c>
      <c r="D691" s="93">
        <v>89</v>
      </c>
      <c r="E691" s="93">
        <v>564</v>
      </c>
      <c r="F691" s="93">
        <v>224</v>
      </c>
      <c r="G691" s="85">
        <v>4770</v>
      </c>
      <c r="H691" s="85">
        <v>510</v>
      </c>
      <c r="I691" s="85">
        <v>1120</v>
      </c>
      <c r="J691" s="85">
        <v>2170</v>
      </c>
      <c r="K691" s="85">
        <v>970</v>
      </c>
    </row>
    <row r="692" spans="1:17" s="85" customFormat="1" x14ac:dyDescent="0.2">
      <c r="A692" s="175">
        <v>44013</v>
      </c>
      <c r="B692" s="93">
        <v>1019</v>
      </c>
      <c r="C692" s="93">
        <v>44</v>
      </c>
      <c r="D692" s="93">
        <v>122</v>
      </c>
      <c r="E692" s="93">
        <v>595</v>
      </c>
      <c r="F692" s="93">
        <v>258</v>
      </c>
      <c r="G692" s="85">
        <v>5900</v>
      </c>
      <c r="H692" s="85">
        <v>660</v>
      </c>
      <c r="I692" s="85">
        <v>1400</v>
      </c>
      <c r="J692" s="85">
        <v>2600</v>
      </c>
      <c r="K692" s="85">
        <v>1240</v>
      </c>
    </row>
    <row r="693" spans="1:17" s="85" customFormat="1" x14ac:dyDescent="0.2">
      <c r="A693" s="175">
        <v>44044</v>
      </c>
      <c r="B693" s="93">
        <v>1029</v>
      </c>
      <c r="C693" s="93">
        <v>47</v>
      </c>
      <c r="D693" s="93">
        <v>104</v>
      </c>
      <c r="E693" s="93">
        <v>609</v>
      </c>
      <c r="F693" s="93">
        <v>269</v>
      </c>
      <c r="G693" s="85">
        <v>5970</v>
      </c>
      <c r="H693" s="85">
        <v>750</v>
      </c>
      <c r="I693" s="85">
        <v>1400</v>
      </c>
      <c r="J693" s="85">
        <v>2570</v>
      </c>
      <c r="K693" s="85">
        <v>1250</v>
      </c>
    </row>
    <row r="694" spans="1:17" s="85" customFormat="1" x14ac:dyDescent="0.2">
      <c r="A694" s="175">
        <v>44075</v>
      </c>
      <c r="B694" s="93">
        <v>988</v>
      </c>
      <c r="C694" s="93">
        <v>39</v>
      </c>
      <c r="D694" s="93">
        <v>101</v>
      </c>
      <c r="E694" s="93">
        <v>572</v>
      </c>
      <c r="F694" s="93">
        <v>276</v>
      </c>
      <c r="G694" s="85">
        <v>6440</v>
      </c>
      <c r="H694" s="85">
        <v>840</v>
      </c>
      <c r="I694" s="85">
        <v>1480</v>
      </c>
      <c r="J694" s="85">
        <v>2770</v>
      </c>
      <c r="K694" s="85">
        <v>1350</v>
      </c>
    </row>
    <row r="695" spans="1:17" s="85" customFormat="1" x14ac:dyDescent="0.2">
      <c r="A695" s="175">
        <v>44105</v>
      </c>
      <c r="B695" s="93">
        <v>1027</v>
      </c>
      <c r="C695" s="93">
        <v>41</v>
      </c>
      <c r="D695" s="93">
        <v>119</v>
      </c>
      <c r="E695" s="93">
        <v>580</v>
      </c>
      <c r="F695" s="93">
        <v>287</v>
      </c>
      <c r="G695" s="85">
        <v>6730</v>
      </c>
      <c r="H695" s="85">
        <v>870</v>
      </c>
      <c r="I695" s="85">
        <v>1600</v>
      </c>
      <c r="J695" s="85">
        <v>2880</v>
      </c>
      <c r="K695" s="85">
        <v>1380</v>
      </c>
    </row>
    <row r="696" spans="1:17" x14ac:dyDescent="0.2">
      <c r="A696" s="175">
        <v>44136</v>
      </c>
      <c r="B696" s="93">
        <v>863</v>
      </c>
      <c r="C696" s="93">
        <v>35</v>
      </c>
      <c r="D696" s="93">
        <v>100</v>
      </c>
      <c r="E696" s="93">
        <v>530</v>
      </c>
      <c r="F696" s="93">
        <v>198</v>
      </c>
      <c r="G696" s="84">
        <v>6590</v>
      </c>
      <c r="H696" s="84">
        <v>860</v>
      </c>
      <c r="I696" s="84">
        <v>1530</v>
      </c>
      <c r="J696" s="84">
        <v>2820</v>
      </c>
      <c r="K696" s="84">
        <v>1380</v>
      </c>
    </row>
    <row r="697" spans="1:17" x14ac:dyDescent="0.2">
      <c r="A697" s="175">
        <v>44166</v>
      </c>
      <c r="B697" s="93">
        <v>873</v>
      </c>
      <c r="C697" s="93">
        <v>41</v>
      </c>
      <c r="D697" s="93">
        <v>107</v>
      </c>
      <c r="E697" s="93">
        <v>512</v>
      </c>
      <c r="F697" s="93">
        <v>213</v>
      </c>
      <c r="G697" s="84">
        <v>6650</v>
      </c>
      <c r="H697" s="84">
        <v>890</v>
      </c>
      <c r="I697" s="84">
        <v>1540</v>
      </c>
      <c r="J697" s="84">
        <v>2850</v>
      </c>
      <c r="K697" s="84">
        <v>1370</v>
      </c>
    </row>
    <row r="698" spans="1:17" x14ac:dyDescent="0.2">
      <c r="A698" s="175">
        <v>44198</v>
      </c>
      <c r="B698" s="93">
        <v>901</v>
      </c>
      <c r="C698" s="93">
        <v>47</v>
      </c>
      <c r="D698" s="93">
        <v>116</v>
      </c>
      <c r="E698" s="93">
        <v>525</v>
      </c>
      <c r="F698" s="93">
        <v>213</v>
      </c>
      <c r="G698" s="84">
        <v>6600</v>
      </c>
      <c r="H698" s="84">
        <v>840</v>
      </c>
      <c r="I698" s="84">
        <v>1490</v>
      </c>
      <c r="J698" s="84">
        <v>2920</v>
      </c>
      <c r="K698" s="84">
        <v>1350</v>
      </c>
      <c r="M698" s="85"/>
      <c r="N698" s="85"/>
      <c r="O698" s="85"/>
      <c r="P698" s="85"/>
      <c r="Q698" s="85"/>
    </row>
    <row r="699" spans="1:17" x14ac:dyDescent="0.2">
      <c r="A699" s="175">
        <v>44228</v>
      </c>
      <c r="B699" s="93">
        <v>765</v>
      </c>
      <c r="C699" s="93">
        <v>35</v>
      </c>
      <c r="D699" s="93">
        <v>100</v>
      </c>
      <c r="E699" s="93">
        <v>422</v>
      </c>
      <c r="F699" s="93">
        <v>208</v>
      </c>
      <c r="G699" s="84">
        <v>6130</v>
      </c>
      <c r="H699" s="84">
        <v>800</v>
      </c>
      <c r="I699" s="84">
        <v>1370</v>
      </c>
      <c r="J699" s="84">
        <v>2650</v>
      </c>
      <c r="K699" s="84">
        <v>1310</v>
      </c>
      <c r="M699" s="85"/>
      <c r="N699" s="85"/>
      <c r="O699" s="85"/>
      <c r="P699" s="85"/>
      <c r="Q699" s="85"/>
    </row>
    <row r="700" spans="1:17" x14ac:dyDescent="0.2">
      <c r="A700" s="175">
        <v>44257</v>
      </c>
      <c r="B700" s="93">
        <v>850</v>
      </c>
      <c r="C700" s="93">
        <v>44</v>
      </c>
      <c r="D700" s="93">
        <v>104</v>
      </c>
      <c r="E700" s="93">
        <v>535</v>
      </c>
      <c r="F700" s="93">
        <v>167</v>
      </c>
      <c r="G700" s="84">
        <v>5980</v>
      </c>
      <c r="H700" s="84">
        <v>780</v>
      </c>
      <c r="I700" s="84">
        <v>1300</v>
      </c>
      <c r="J700" s="84">
        <v>2660</v>
      </c>
      <c r="K700" s="84">
        <v>1240</v>
      </c>
      <c r="M700" s="85"/>
      <c r="N700" s="85"/>
      <c r="O700" s="85"/>
      <c r="P700" s="85"/>
      <c r="Q700" s="85"/>
    </row>
    <row r="701" spans="1:17" x14ac:dyDescent="0.2">
      <c r="A701" s="175">
        <v>44289</v>
      </c>
      <c r="B701" s="93">
        <v>810</v>
      </c>
      <c r="C701" s="93">
        <v>42</v>
      </c>
      <c r="D701" s="93">
        <v>93</v>
      </c>
      <c r="E701" s="93">
        <v>481</v>
      </c>
      <c r="F701" s="93">
        <v>194</v>
      </c>
      <c r="G701" s="84">
        <v>5940</v>
      </c>
      <c r="H701" s="84">
        <v>760</v>
      </c>
      <c r="I701" s="84">
        <v>1330</v>
      </c>
      <c r="J701" s="84">
        <v>2630</v>
      </c>
      <c r="K701" s="84">
        <v>1220</v>
      </c>
      <c r="M701" s="85"/>
      <c r="N701" s="85"/>
      <c r="O701" s="85"/>
      <c r="P701" s="85"/>
      <c r="Q701" s="85"/>
    </row>
    <row r="702" spans="1:17" x14ac:dyDescent="0.2">
      <c r="A702" s="175">
        <v>44320</v>
      </c>
      <c r="B702" s="93">
        <v>715</v>
      </c>
      <c r="C702" s="93">
        <v>39</v>
      </c>
      <c r="D702" s="93">
        <v>96</v>
      </c>
      <c r="E702" s="93">
        <v>385</v>
      </c>
      <c r="F702" s="93">
        <v>195</v>
      </c>
      <c r="G702" s="84">
        <v>5880</v>
      </c>
      <c r="H702" s="84">
        <v>740</v>
      </c>
      <c r="I702" s="84">
        <v>1340</v>
      </c>
      <c r="J702" s="84">
        <v>2610</v>
      </c>
      <c r="K702" s="84">
        <v>1190</v>
      </c>
      <c r="M702" s="85"/>
      <c r="N702" s="85"/>
      <c r="O702" s="85"/>
      <c r="P702" s="85"/>
      <c r="Q702" s="85"/>
    </row>
    <row r="703" spans="1:17" x14ac:dyDescent="0.2">
      <c r="A703" s="175">
        <v>44352</v>
      </c>
      <c r="B703" s="93">
        <v>716</v>
      </c>
      <c r="C703" s="93">
        <v>30</v>
      </c>
      <c r="D703" s="93">
        <v>96</v>
      </c>
      <c r="E703" s="93">
        <v>415</v>
      </c>
      <c r="F703" s="93">
        <v>175</v>
      </c>
      <c r="G703" s="84">
        <v>5990</v>
      </c>
      <c r="H703" s="84">
        <v>740</v>
      </c>
      <c r="I703" s="84">
        <v>1360</v>
      </c>
      <c r="J703" s="84">
        <v>2670</v>
      </c>
      <c r="K703" s="84">
        <v>1220</v>
      </c>
      <c r="M703" s="85"/>
      <c r="N703" s="85"/>
      <c r="O703" s="85"/>
      <c r="P703" s="85"/>
      <c r="Q703" s="85"/>
    </row>
    <row r="704" spans="1:17" x14ac:dyDescent="0.2">
      <c r="A704" s="175">
        <v>44383</v>
      </c>
      <c r="B704" s="93">
        <v>760</v>
      </c>
      <c r="C704" s="93">
        <v>28</v>
      </c>
      <c r="D704" s="93">
        <v>71</v>
      </c>
      <c r="E704" s="93">
        <v>456</v>
      </c>
      <c r="F704" s="93">
        <v>205</v>
      </c>
      <c r="G704" s="84">
        <v>6070</v>
      </c>
      <c r="H704" s="84">
        <v>750</v>
      </c>
      <c r="I704" s="84">
        <v>1380</v>
      </c>
      <c r="J704" s="84">
        <v>2700</v>
      </c>
      <c r="K704" s="84">
        <v>1240</v>
      </c>
      <c r="M704" s="85"/>
      <c r="N704" s="85"/>
      <c r="O704" s="85"/>
      <c r="P704" s="85"/>
      <c r="Q704" s="85"/>
    </row>
    <row r="705" spans="1:17" x14ac:dyDescent="0.2">
      <c r="A705" s="175">
        <v>44415</v>
      </c>
      <c r="B705" s="93">
        <v>690</v>
      </c>
      <c r="C705" s="93">
        <v>32</v>
      </c>
      <c r="D705" s="93">
        <v>64</v>
      </c>
      <c r="E705" s="93">
        <v>420</v>
      </c>
      <c r="F705" s="93">
        <v>174</v>
      </c>
      <c r="G705" s="84">
        <v>5990</v>
      </c>
      <c r="H705" s="84">
        <v>730</v>
      </c>
      <c r="I705" s="84">
        <v>1380</v>
      </c>
      <c r="J705" s="84">
        <v>2630</v>
      </c>
      <c r="K705" s="84">
        <v>1250</v>
      </c>
      <c r="M705" s="85"/>
      <c r="N705" s="85"/>
      <c r="O705" s="85"/>
      <c r="P705" s="85"/>
      <c r="Q705" s="85"/>
    </row>
    <row r="706" spans="1:17" x14ac:dyDescent="0.2">
      <c r="A706" s="175">
        <v>44447</v>
      </c>
      <c r="B706" s="93">
        <v>742</v>
      </c>
      <c r="C706" s="93">
        <v>32</v>
      </c>
      <c r="D706" s="93">
        <v>62</v>
      </c>
      <c r="E706" s="93">
        <v>453</v>
      </c>
      <c r="F706" s="93">
        <v>195</v>
      </c>
      <c r="G706" s="84">
        <v>6170</v>
      </c>
      <c r="H706" s="84">
        <v>730</v>
      </c>
      <c r="I706" s="84">
        <v>1420</v>
      </c>
      <c r="J706" s="84">
        <v>2720</v>
      </c>
      <c r="K706" s="84">
        <v>1300</v>
      </c>
      <c r="M706" s="85"/>
      <c r="N706" s="85"/>
      <c r="O706" s="85"/>
      <c r="P706" s="85"/>
      <c r="Q706" s="85"/>
    </row>
    <row r="707" spans="1:17" x14ac:dyDescent="0.2">
      <c r="A707" s="175">
        <v>44478</v>
      </c>
      <c r="B707" s="93">
        <v>680</v>
      </c>
      <c r="C707" s="93">
        <v>31</v>
      </c>
      <c r="D707" s="93">
        <v>72</v>
      </c>
      <c r="E707" s="93">
        <v>405</v>
      </c>
      <c r="F707" s="93">
        <v>172</v>
      </c>
      <c r="G707" s="84">
        <v>6210</v>
      </c>
      <c r="H707" s="84">
        <v>740</v>
      </c>
      <c r="I707" s="84">
        <v>1450</v>
      </c>
      <c r="J707" s="84">
        <v>2730</v>
      </c>
      <c r="K707" s="84">
        <v>1290</v>
      </c>
      <c r="M707" s="85"/>
      <c r="N707" s="85"/>
      <c r="O707" s="85"/>
      <c r="P707" s="85"/>
      <c r="Q707" s="85"/>
    </row>
    <row r="708" spans="1:17" x14ac:dyDescent="0.2">
      <c r="A708" s="175">
        <v>44510</v>
      </c>
      <c r="B708" s="93">
        <v>772</v>
      </c>
      <c r="C708" s="93">
        <v>34</v>
      </c>
      <c r="D708" s="93">
        <v>60</v>
      </c>
      <c r="E708" s="93">
        <v>451</v>
      </c>
      <c r="F708" s="93">
        <v>227</v>
      </c>
      <c r="G708" s="84">
        <v>6430</v>
      </c>
      <c r="H708" s="84">
        <v>740</v>
      </c>
      <c r="I708" s="84">
        <v>1490</v>
      </c>
      <c r="J708" s="84">
        <v>2860</v>
      </c>
      <c r="K708" s="84">
        <v>1340</v>
      </c>
    </row>
    <row r="709" spans="1:17" x14ac:dyDescent="0.2">
      <c r="A709" s="175">
        <v>44541</v>
      </c>
      <c r="B709" s="93">
        <v>830</v>
      </c>
      <c r="C709" s="93">
        <v>36</v>
      </c>
      <c r="D709" s="93">
        <v>77</v>
      </c>
      <c r="E709" s="93">
        <v>478</v>
      </c>
      <c r="F709" s="93">
        <v>239</v>
      </c>
      <c r="G709" s="84">
        <v>6210</v>
      </c>
      <c r="H709" s="84">
        <v>750</v>
      </c>
      <c r="I709" s="84">
        <v>1470</v>
      </c>
      <c r="J709" s="84">
        <v>2740</v>
      </c>
      <c r="K709" s="84">
        <v>1250</v>
      </c>
    </row>
    <row r="710" spans="1:17" x14ac:dyDescent="0.2">
      <c r="A710" s="175">
        <v>44562</v>
      </c>
      <c r="B710" s="93">
        <v>810</v>
      </c>
      <c r="C710" s="93">
        <v>29</v>
      </c>
      <c r="D710" s="93">
        <v>100</v>
      </c>
      <c r="E710" s="93">
        <v>455</v>
      </c>
      <c r="F710" s="93">
        <v>226</v>
      </c>
      <c r="G710" s="84">
        <v>6430</v>
      </c>
      <c r="H710" s="84">
        <v>790</v>
      </c>
      <c r="I710" s="84">
        <v>1460</v>
      </c>
      <c r="J710" s="84">
        <v>2930</v>
      </c>
      <c r="K710" s="84">
        <v>1250</v>
      </c>
    </row>
    <row r="711" spans="1:17" x14ac:dyDescent="0.2">
      <c r="A711" s="175">
        <v>44593</v>
      </c>
      <c r="B711" s="93">
        <v>773</v>
      </c>
      <c r="C711" s="93">
        <v>48</v>
      </c>
      <c r="D711" s="93">
        <v>87</v>
      </c>
      <c r="E711" s="93">
        <v>442</v>
      </c>
      <c r="F711" s="93">
        <v>196</v>
      </c>
      <c r="G711" s="84">
        <v>5890</v>
      </c>
      <c r="H711" s="84">
        <v>700</v>
      </c>
      <c r="I711" s="84">
        <v>1330</v>
      </c>
      <c r="J711" s="84">
        <v>2660</v>
      </c>
      <c r="K711" s="84">
        <v>1200</v>
      </c>
    </row>
    <row r="712" spans="1:17" x14ac:dyDescent="0.2">
      <c r="A712" s="175">
        <v>44621</v>
      </c>
      <c r="B712" s="93">
        <v>707</v>
      </c>
      <c r="C712" s="93">
        <v>51</v>
      </c>
      <c r="D712" s="93">
        <v>78</v>
      </c>
      <c r="E712" s="93">
        <v>403</v>
      </c>
      <c r="F712" s="93">
        <v>175</v>
      </c>
      <c r="G712" s="84">
        <v>5630</v>
      </c>
      <c r="H712" s="84">
        <v>660</v>
      </c>
      <c r="I712" s="84">
        <v>1240</v>
      </c>
      <c r="J712" s="84">
        <v>2560</v>
      </c>
      <c r="K712" s="84">
        <v>1170</v>
      </c>
    </row>
    <row r="713" spans="1:17" x14ac:dyDescent="0.2">
      <c r="A713" s="175">
        <v>44652</v>
      </c>
      <c r="B713" s="93">
        <v>611</v>
      </c>
      <c r="C713" s="93">
        <v>45</v>
      </c>
      <c r="D713" s="93">
        <v>63</v>
      </c>
      <c r="E713" s="93">
        <v>359</v>
      </c>
      <c r="F713" s="93">
        <v>144</v>
      </c>
      <c r="G713" s="84">
        <v>5530</v>
      </c>
      <c r="H713" s="84">
        <v>670</v>
      </c>
      <c r="I713" s="84">
        <v>1300</v>
      </c>
      <c r="J713" s="84">
        <v>2450</v>
      </c>
      <c r="K713" s="84">
        <v>1110</v>
      </c>
    </row>
    <row r="714" spans="1:17" x14ac:dyDescent="0.2">
      <c r="A714" s="175">
        <v>44682</v>
      </c>
      <c r="B714" s="89">
        <v>636</v>
      </c>
      <c r="C714" s="89">
        <v>19</v>
      </c>
      <c r="D714" s="89">
        <v>55</v>
      </c>
      <c r="E714" s="89">
        <v>386</v>
      </c>
      <c r="F714" s="89">
        <v>176</v>
      </c>
      <c r="G714" s="84">
        <v>5350</v>
      </c>
      <c r="H714" s="84">
        <v>660</v>
      </c>
      <c r="I714" s="84">
        <v>1250</v>
      </c>
      <c r="J714" s="84">
        <v>2390</v>
      </c>
      <c r="K714" s="84">
        <v>1050</v>
      </c>
    </row>
    <row r="715" spans="1:17" x14ac:dyDescent="0.2">
      <c r="A715" s="175">
        <v>44713</v>
      </c>
      <c r="B715" s="89">
        <v>563</v>
      </c>
      <c r="C715" s="89">
        <v>17</v>
      </c>
      <c r="D715" s="89">
        <v>61</v>
      </c>
      <c r="E715" s="89">
        <v>379</v>
      </c>
      <c r="F715" s="89">
        <v>106</v>
      </c>
      <c r="G715" s="84">
        <v>5100</v>
      </c>
      <c r="H715" s="84">
        <v>650</v>
      </c>
      <c r="I715" s="84">
        <v>1220</v>
      </c>
      <c r="J715" s="84">
        <v>2270</v>
      </c>
      <c r="K715" s="84">
        <v>960</v>
      </c>
    </row>
    <row r="716" spans="1:17" x14ac:dyDescent="0.2">
      <c r="A716" s="175">
        <v>44743</v>
      </c>
      <c r="B716" s="89">
        <v>543</v>
      </c>
      <c r="C716" s="89">
        <v>23</v>
      </c>
      <c r="D716" s="89">
        <v>53</v>
      </c>
      <c r="E716" s="89">
        <v>354</v>
      </c>
      <c r="F716" s="89">
        <v>113</v>
      </c>
      <c r="G716" s="84">
        <v>4860</v>
      </c>
      <c r="H716" s="84">
        <v>620</v>
      </c>
      <c r="I716" s="84">
        <v>1200</v>
      </c>
      <c r="J716" s="84">
        <v>2170</v>
      </c>
      <c r="K716" s="84">
        <v>870</v>
      </c>
    </row>
    <row r="717" spans="1:17" x14ac:dyDescent="0.2">
      <c r="A717" s="175">
        <v>44774</v>
      </c>
      <c r="B717" s="85">
        <v>638</v>
      </c>
      <c r="C717" s="85">
        <v>27</v>
      </c>
      <c r="D717" s="85">
        <v>62</v>
      </c>
      <c r="E717" s="85">
        <v>422</v>
      </c>
      <c r="F717" s="85">
        <v>127</v>
      </c>
      <c r="G717" s="84">
        <v>4750</v>
      </c>
      <c r="H717" s="84">
        <v>610</v>
      </c>
      <c r="I717" s="84">
        <v>1160</v>
      </c>
      <c r="J717" s="84">
        <v>2100</v>
      </c>
      <c r="K717" s="84">
        <v>880</v>
      </c>
    </row>
    <row r="718" spans="1:17" x14ac:dyDescent="0.2">
      <c r="A718" s="175">
        <v>44805</v>
      </c>
      <c r="B718" s="85">
        <v>567</v>
      </c>
      <c r="C718" s="85">
        <v>30</v>
      </c>
      <c r="D718" s="85">
        <v>64</v>
      </c>
      <c r="E718" s="85">
        <v>351</v>
      </c>
      <c r="F718" s="85">
        <v>122</v>
      </c>
      <c r="G718" s="84">
        <v>4700</v>
      </c>
      <c r="H718" s="84">
        <v>590</v>
      </c>
      <c r="I718" s="84">
        <v>1140</v>
      </c>
      <c r="J718" s="84">
        <v>2080</v>
      </c>
      <c r="K718" s="84">
        <v>890</v>
      </c>
    </row>
    <row r="719" spans="1:17" x14ac:dyDescent="0.2">
      <c r="A719" s="175">
        <v>44835</v>
      </c>
      <c r="B719" s="84">
        <v>577</v>
      </c>
      <c r="C719" s="84">
        <v>39</v>
      </c>
      <c r="D719" s="84">
        <v>47</v>
      </c>
      <c r="E719" s="84">
        <v>369</v>
      </c>
      <c r="F719" s="84">
        <v>122</v>
      </c>
      <c r="G719" s="84">
        <v>4490</v>
      </c>
      <c r="H719" s="84">
        <v>570</v>
      </c>
      <c r="I719" s="84">
        <v>1090</v>
      </c>
      <c r="J719" s="84">
        <v>2010</v>
      </c>
      <c r="K719" s="84">
        <v>820</v>
      </c>
    </row>
    <row r="720" spans="1:17" x14ac:dyDescent="0.2">
      <c r="A720" s="175">
        <v>44866</v>
      </c>
      <c r="B720" s="84">
        <v>582</v>
      </c>
      <c r="C720" s="84">
        <v>29</v>
      </c>
      <c r="D720" s="84">
        <v>46</v>
      </c>
      <c r="E720" s="84">
        <v>368</v>
      </c>
      <c r="F720" s="84">
        <v>139</v>
      </c>
      <c r="G720" s="84">
        <v>4190</v>
      </c>
      <c r="H720" s="84">
        <v>540</v>
      </c>
      <c r="I720" s="84">
        <v>1040</v>
      </c>
      <c r="J720" s="84">
        <v>1870</v>
      </c>
      <c r="K720" s="84">
        <v>740</v>
      </c>
    </row>
    <row r="721" spans="1:11" x14ac:dyDescent="0.2">
      <c r="A721" s="175">
        <v>44896</v>
      </c>
      <c r="B721" s="84">
        <v>636</v>
      </c>
      <c r="C721" s="84">
        <v>34</v>
      </c>
      <c r="D721" s="84">
        <v>67</v>
      </c>
      <c r="E721" s="84">
        <v>404</v>
      </c>
      <c r="F721" s="84">
        <v>131</v>
      </c>
      <c r="G721" s="84">
        <v>4120</v>
      </c>
      <c r="H721" s="84">
        <v>530</v>
      </c>
      <c r="I721" s="84">
        <v>1030</v>
      </c>
      <c r="J721" s="84">
        <v>1850</v>
      </c>
      <c r="K721" s="84">
        <v>710</v>
      </c>
    </row>
    <row r="722" spans="1:11" x14ac:dyDescent="0.2">
      <c r="A722" s="175">
        <v>44927</v>
      </c>
      <c r="B722" s="84">
        <v>649</v>
      </c>
      <c r="C722" s="84">
        <v>41</v>
      </c>
      <c r="D722" s="84">
        <v>73</v>
      </c>
      <c r="E722" s="84">
        <v>414</v>
      </c>
      <c r="F722" s="84">
        <v>121</v>
      </c>
      <c r="G722" s="84">
        <v>4070</v>
      </c>
      <c r="H722" s="84">
        <v>510</v>
      </c>
      <c r="I722" s="84">
        <v>980</v>
      </c>
      <c r="J722" s="84">
        <v>1870</v>
      </c>
      <c r="K722" s="84">
        <v>710</v>
      </c>
    </row>
    <row r="723" spans="1:11" x14ac:dyDescent="0.2">
      <c r="A723" s="175">
        <v>44958</v>
      </c>
      <c r="B723" s="84">
        <v>625</v>
      </c>
      <c r="C723" s="84">
        <v>23</v>
      </c>
      <c r="D723" s="84">
        <v>72</v>
      </c>
      <c r="E723" s="84">
        <v>408</v>
      </c>
      <c r="F723" s="84">
        <v>122</v>
      </c>
      <c r="G723" s="84">
        <v>4530</v>
      </c>
      <c r="H723" s="84">
        <v>520</v>
      </c>
      <c r="I723" s="84">
        <v>1070</v>
      </c>
      <c r="J723" s="84">
        <v>2080</v>
      </c>
      <c r="K723" s="84">
        <v>860</v>
      </c>
    </row>
    <row r="724" spans="1:11" x14ac:dyDescent="0.2">
      <c r="A724" s="175">
        <v>44986</v>
      </c>
      <c r="B724" s="84">
        <v>640</v>
      </c>
      <c r="C724" s="84">
        <v>53</v>
      </c>
      <c r="D724" s="84">
        <v>64</v>
      </c>
      <c r="E724" s="84">
        <v>374</v>
      </c>
      <c r="F724" s="84">
        <v>149</v>
      </c>
      <c r="G724" s="84">
        <v>4350</v>
      </c>
      <c r="H724" s="84">
        <v>520</v>
      </c>
      <c r="I724" s="84">
        <v>1020</v>
      </c>
      <c r="J724" s="84">
        <v>2000</v>
      </c>
      <c r="K724" s="84">
        <v>810</v>
      </c>
    </row>
    <row r="725" spans="1:11" x14ac:dyDescent="0.2">
      <c r="A725" s="175">
        <v>45017</v>
      </c>
      <c r="B725" s="84">
        <v>687</v>
      </c>
      <c r="C725" s="84">
        <v>34</v>
      </c>
      <c r="D725" s="84">
        <v>69</v>
      </c>
      <c r="E725" s="84">
        <v>423</v>
      </c>
      <c r="F725" s="84">
        <v>161</v>
      </c>
      <c r="G725" s="84">
        <v>4220</v>
      </c>
      <c r="H725" s="84">
        <v>500</v>
      </c>
      <c r="I725" s="84">
        <v>1010</v>
      </c>
      <c r="J725" s="84">
        <v>1960</v>
      </c>
      <c r="K725" s="84">
        <v>750</v>
      </c>
    </row>
    <row r="726" spans="1:11" x14ac:dyDescent="0.2">
      <c r="A726" s="175">
        <v>45047</v>
      </c>
      <c r="B726" s="84">
        <v>741</v>
      </c>
      <c r="C726" s="84">
        <v>32</v>
      </c>
      <c r="D726" s="84">
        <v>75</v>
      </c>
      <c r="E726" s="84">
        <v>447</v>
      </c>
      <c r="F726" s="84">
        <v>187</v>
      </c>
      <c r="G726" s="84">
        <v>4230</v>
      </c>
      <c r="H726" s="84">
        <v>500</v>
      </c>
      <c r="I726" s="84">
        <v>990</v>
      </c>
      <c r="J726" s="84">
        <v>1970</v>
      </c>
      <c r="K726" s="84">
        <v>770</v>
      </c>
    </row>
    <row r="727" spans="1:11" x14ac:dyDescent="0.2">
      <c r="A727" s="175">
        <v>45078</v>
      </c>
      <c r="B727" s="84">
        <v>666</v>
      </c>
      <c r="C727" s="84">
        <v>33</v>
      </c>
      <c r="D727" s="84">
        <v>61</v>
      </c>
      <c r="E727" s="84">
        <v>427</v>
      </c>
      <c r="F727" s="84">
        <v>145</v>
      </c>
      <c r="G727" s="84">
        <v>4110</v>
      </c>
      <c r="H727" s="84">
        <v>500</v>
      </c>
      <c r="I727" s="84">
        <v>980</v>
      </c>
      <c r="J727" s="84">
        <v>1890</v>
      </c>
      <c r="K727" s="84">
        <v>740</v>
      </c>
    </row>
    <row r="728" spans="1:11" x14ac:dyDescent="0.2">
      <c r="A728" s="175">
        <v>45108</v>
      </c>
      <c r="B728" s="84">
        <v>700</v>
      </c>
      <c r="C728" s="84">
        <v>30</v>
      </c>
      <c r="D728" s="84">
        <v>76</v>
      </c>
      <c r="E728" s="84">
        <v>416</v>
      </c>
      <c r="F728" s="84">
        <v>178</v>
      </c>
      <c r="G728" s="84">
        <v>4050</v>
      </c>
      <c r="H728" s="84">
        <v>480</v>
      </c>
      <c r="I728" s="84">
        <v>970</v>
      </c>
      <c r="J728" s="84">
        <v>1860</v>
      </c>
      <c r="K728" s="84">
        <v>740</v>
      </c>
    </row>
    <row r="729" spans="1:11" x14ac:dyDescent="0.2">
      <c r="A729" s="175">
        <v>45139</v>
      </c>
      <c r="B729" s="84">
        <v>652</v>
      </c>
      <c r="C729" s="84">
        <v>36</v>
      </c>
      <c r="D729" s="84">
        <v>64</v>
      </c>
      <c r="E729" s="84">
        <v>389</v>
      </c>
      <c r="F729" s="84">
        <v>163</v>
      </c>
      <c r="G729" s="84">
        <v>4030</v>
      </c>
      <c r="H729" s="84">
        <v>480</v>
      </c>
      <c r="I729" s="84">
        <v>970</v>
      </c>
      <c r="J729" s="84">
        <v>1840</v>
      </c>
      <c r="K729" s="84">
        <v>740</v>
      </c>
    </row>
    <row r="730" spans="1:11" x14ac:dyDescent="0.2">
      <c r="A730" s="175">
        <v>45170</v>
      </c>
      <c r="B730" s="84">
        <v>694</v>
      </c>
      <c r="C730" s="84">
        <v>36</v>
      </c>
      <c r="D730" s="84">
        <v>67</v>
      </c>
      <c r="E730" s="84">
        <v>416</v>
      </c>
      <c r="F730" s="84">
        <v>175</v>
      </c>
      <c r="G730" s="84">
        <v>3980</v>
      </c>
      <c r="H730" s="84">
        <v>490</v>
      </c>
      <c r="I730" s="84">
        <v>950</v>
      </c>
      <c r="J730" s="84">
        <v>1820</v>
      </c>
      <c r="K730" s="84">
        <v>720</v>
      </c>
    </row>
    <row r="731" spans="1:11" x14ac:dyDescent="0.2">
      <c r="A731" s="175">
        <v>45200</v>
      </c>
      <c r="B731" s="84">
        <v>673</v>
      </c>
      <c r="C731" s="84">
        <v>34</v>
      </c>
      <c r="D731" s="84">
        <v>63</v>
      </c>
      <c r="E731" s="84">
        <v>422</v>
      </c>
      <c r="F731" s="84">
        <v>154</v>
      </c>
      <c r="G731" s="84">
        <v>3850</v>
      </c>
      <c r="H731" s="84">
        <v>470</v>
      </c>
      <c r="I731" s="84">
        <v>940</v>
      </c>
      <c r="J731" s="84">
        <v>1730</v>
      </c>
      <c r="K731" s="84">
        <v>710</v>
      </c>
    </row>
    <row r="732" spans="1:11" x14ac:dyDescent="0.2">
      <c r="A732" s="175">
        <v>45231</v>
      </c>
      <c r="B732" s="84">
        <v>611</v>
      </c>
      <c r="C732" s="84">
        <v>26</v>
      </c>
      <c r="D732" s="84">
        <v>80</v>
      </c>
      <c r="E732" s="84">
        <v>367</v>
      </c>
      <c r="F732" s="84">
        <v>138</v>
      </c>
      <c r="G732" s="84">
        <v>3910</v>
      </c>
      <c r="H732" s="84">
        <v>480</v>
      </c>
      <c r="I732" s="84">
        <v>950</v>
      </c>
      <c r="J732" s="84">
        <v>1810</v>
      </c>
      <c r="K732" s="84">
        <v>670</v>
      </c>
    </row>
    <row r="733" spans="1:11" x14ac:dyDescent="0.2">
      <c r="A733" s="175">
        <v>45261</v>
      </c>
      <c r="B733" s="84">
        <v>654</v>
      </c>
      <c r="C733" s="84">
        <v>27</v>
      </c>
      <c r="D733" s="84">
        <v>62</v>
      </c>
      <c r="E733" s="84">
        <v>421</v>
      </c>
      <c r="F733" s="84">
        <v>144</v>
      </c>
      <c r="G733" s="84">
        <v>3880</v>
      </c>
      <c r="H733" s="84">
        <v>480</v>
      </c>
      <c r="I733" s="84">
        <v>930</v>
      </c>
      <c r="J733" s="84">
        <v>1770</v>
      </c>
      <c r="K733" s="84">
        <v>700</v>
      </c>
    </row>
    <row r="734" spans="1:11" ht="12" customHeight="1" x14ac:dyDescent="0.2">
      <c r="A734" s="175">
        <v>45292</v>
      </c>
      <c r="B734" s="84">
        <v>664</v>
      </c>
      <c r="C734" s="84">
        <v>54</v>
      </c>
      <c r="D734" s="84">
        <v>81</v>
      </c>
      <c r="E734" s="84">
        <v>367</v>
      </c>
      <c r="F734" s="84">
        <v>162</v>
      </c>
      <c r="G734" s="104">
        <v>4000</v>
      </c>
      <c r="H734" s="104">
        <v>480</v>
      </c>
      <c r="I734" s="104">
        <v>950</v>
      </c>
      <c r="J734" s="104">
        <v>1830</v>
      </c>
      <c r="K734" s="104">
        <v>740</v>
      </c>
    </row>
    <row r="735" spans="1:11" x14ac:dyDescent="0.2">
      <c r="A735" s="175">
        <v>45323</v>
      </c>
      <c r="B735" s="84">
        <v>643</v>
      </c>
      <c r="C735" s="84">
        <v>43</v>
      </c>
      <c r="D735" s="84">
        <v>74</v>
      </c>
      <c r="E735" s="84">
        <v>368</v>
      </c>
      <c r="F735" s="84">
        <v>158</v>
      </c>
      <c r="G735" s="84">
        <v>4310</v>
      </c>
      <c r="H735" s="84">
        <v>480</v>
      </c>
      <c r="I735" s="84">
        <v>990</v>
      </c>
      <c r="J735" s="84">
        <v>1990</v>
      </c>
      <c r="K735" s="84">
        <v>850</v>
      </c>
    </row>
    <row r="736" spans="1:11" x14ac:dyDescent="0.2">
      <c r="A736" s="175">
        <v>45352</v>
      </c>
      <c r="B736" s="84">
        <v>683</v>
      </c>
      <c r="C736" s="84">
        <v>42</v>
      </c>
      <c r="D736" s="84">
        <v>82</v>
      </c>
      <c r="E736" s="84">
        <v>395</v>
      </c>
      <c r="F736" s="84">
        <v>164</v>
      </c>
      <c r="G736" s="84">
        <v>4120</v>
      </c>
      <c r="H736" s="84">
        <v>490</v>
      </c>
      <c r="I736" s="84">
        <v>980</v>
      </c>
      <c r="J736" s="84">
        <v>1890</v>
      </c>
      <c r="K736" s="84">
        <v>760</v>
      </c>
    </row>
    <row r="737" spans="1:11" x14ac:dyDescent="0.2">
      <c r="A737" s="175">
        <v>45383</v>
      </c>
      <c r="B737" s="84">
        <v>719</v>
      </c>
      <c r="C737" s="84">
        <v>31</v>
      </c>
      <c r="D737" s="84">
        <v>83</v>
      </c>
      <c r="E737" s="84">
        <v>449</v>
      </c>
      <c r="F737" s="84">
        <v>156</v>
      </c>
      <c r="G737" s="84">
        <v>4080</v>
      </c>
      <c r="H737" s="84">
        <v>480</v>
      </c>
      <c r="I737" s="84">
        <v>980</v>
      </c>
      <c r="J737" s="84">
        <v>1870</v>
      </c>
      <c r="K737" s="84">
        <v>750</v>
      </c>
    </row>
    <row r="738" spans="1:11" x14ac:dyDescent="0.2">
      <c r="A738" s="175">
        <v>45413</v>
      </c>
      <c r="B738" s="84">
        <v>665</v>
      </c>
      <c r="C738" s="84">
        <v>25</v>
      </c>
      <c r="D738" s="84">
        <v>81</v>
      </c>
      <c r="E738" s="84">
        <v>413</v>
      </c>
      <c r="F738" s="84">
        <v>146</v>
      </c>
      <c r="G738" s="84">
        <v>4060</v>
      </c>
      <c r="H738" s="84">
        <v>480</v>
      </c>
      <c r="I738" s="84">
        <v>980</v>
      </c>
      <c r="J738" s="84">
        <v>1850</v>
      </c>
      <c r="K738" s="84">
        <v>750</v>
      </c>
    </row>
    <row r="739" spans="1:11" x14ac:dyDescent="0.2">
      <c r="A739" s="175">
        <v>45444</v>
      </c>
      <c r="B739" s="84">
        <v>671</v>
      </c>
      <c r="C739" s="84">
        <v>32</v>
      </c>
      <c r="D739" s="84">
        <v>78</v>
      </c>
      <c r="E739" s="84">
        <v>408</v>
      </c>
      <c r="F739" s="84">
        <v>153</v>
      </c>
      <c r="G739" s="84">
        <v>3930</v>
      </c>
      <c r="H739" s="84">
        <v>480</v>
      </c>
      <c r="I739" s="84">
        <v>930</v>
      </c>
      <c r="J739" s="84">
        <v>1780</v>
      </c>
      <c r="K739" s="84">
        <v>740</v>
      </c>
    </row>
    <row r="740" spans="1:11" x14ac:dyDescent="0.2">
      <c r="A740" s="175">
        <v>45474</v>
      </c>
      <c r="B740" s="84">
        <v>710</v>
      </c>
      <c r="C740" s="84">
        <v>34</v>
      </c>
      <c r="D740" s="84">
        <v>81</v>
      </c>
      <c r="E740" s="84">
        <v>404</v>
      </c>
      <c r="F740" s="84">
        <v>191</v>
      </c>
      <c r="G740" s="84">
        <v>3980</v>
      </c>
      <c r="H740" s="84">
        <v>490</v>
      </c>
      <c r="I740" s="84">
        <v>930</v>
      </c>
      <c r="J740" s="84">
        <v>1810</v>
      </c>
      <c r="K740" s="84">
        <v>750</v>
      </c>
    </row>
    <row r="741" spans="1:11" x14ac:dyDescent="0.2">
      <c r="A741" s="175">
        <v>45505</v>
      </c>
      <c r="B741" s="84">
        <v>693</v>
      </c>
      <c r="C741" s="84">
        <v>22</v>
      </c>
      <c r="D741" s="84">
        <v>74</v>
      </c>
      <c r="E741" s="84">
        <v>438</v>
      </c>
      <c r="F741" s="84">
        <v>159</v>
      </c>
      <c r="G741" s="84">
        <v>3930</v>
      </c>
      <c r="H741" s="84">
        <v>490</v>
      </c>
      <c r="I741" s="84">
        <v>930</v>
      </c>
      <c r="J741" s="84">
        <v>1770</v>
      </c>
      <c r="K741" s="84">
        <v>740</v>
      </c>
    </row>
    <row r="742" spans="1:11" x14ac:dyDescent="0.2">
      <c r="A742" s="175">
        <v>45536</v>
      </c>
      <c r="B742" s="84">
        <v>717</v>
      </c>
      <c r="C742" s="84">
        <v>30</v>
      </c>
      <c r="D742" s="84">
        <v>77</v>
      </c>
      <c r="E742" s="84">
        <v>453</v>
      </c>
      <c r="F742" s="84">
        <v>157</v>
      </c>
      <c r="G742" s="84">
        <v>3900</v>
      </c>
      <c r="H742" s="84">
        <v>470</v>
      </c>
      <c r="I742" s="84">
        <v>920</v>
      </c>
      <c r="J742" s="84">
        <v>1740</v>
      </c>
      <c r="K742" s="84">
        <v>770</v>
      </c>
    </row>
    <row r="743" spans="1:11" x14ac:dyDescent="0.2">
      <c r="A743" s="175">
        <v>45566</v>
      </c>
      <c r="B743" s="84">
        <v>621</v>
      </c>
      <c r="C743" s="84">
        <v>40</v>
      </c>
      <c r="D743" s="84">
        <v>75</v>
      </c>
      <c r="E743" s="84">
        <v>361</v>
      </c>
      <c r="F743" s="84">
        <v>145</v>
      </c>
      <c r="G743" s="84">
        <v>4030</v>
      </c>
      <c r="H743" s="84">
        <v>470</v>
      </c>
      <c r="I743" s="84">
        <v>970</v>
      </c>
      <c r="J743" s="84">
        <v>1810</v>
      </c>
      <c r="K743" s="84">
        <v>780</v>
      </c>
    </row>
    <row r="744" spans="1:11" x14ac:dyDescent="0.2">
      <c r="A744" s="175">
        <v>45597</v>
      </c>
      <c r="B744" s="84">
        <v>675</v>
      </c>
      <c r="C744" s="84">
        <v>27</v>
      </c>
      <c r="D744" s="84">
        <v>85</v>
      </c>
      <c r="E744" s="84">
        <v>435</v>
      </c>
      <c r="F744" s="84">
        <v>128</v>
      </c>
      <c r="G744" s="84">
        <v>4170</v>
      </c>
      <c r="H744" s="84">
        <v>510</v>
      </c>
      <c r="I744" s="84">
        <v>1000</v>
      </c>
      <c r="J744" s="84">
        <v>1890</v>
      </c>
      <c r="K744" s="84">
        <v>770</v>
      </c>
    </row>
    <row r="745" spans="1:11" x14ac:dyDescent="0.2">
      <c r="A745" s="175">
        <v>45627</v>
      </c>
      <c r="B745" s="84">
        <v>718</v>
      </c>
      <c r="C745" s="84">
        <v>33</v>
      </c>
      <c r="D745" s="84">
        <v>83</v>
      </c>
      <c r="E745" s="84">
        <v>435</v>
      </c>
      <c r="F745" s="84">
        <v>167</v>
      </c>
      <c r="G745" s="84">
        <v>4290</v>
      </c>
      <c r="H745" s="84">
        <v>530</v>
      </c>
      <c r="I745" s="84">
        <v>1000</v>
      </c>
      <c r="J745" s="84">
        <v>1950</v>
      </c>
      <c r="K745" s="84">
        <v>810</v>
      </c>
    </row>
    <row r="746" spans="1:11" x14ac:dyDescent="0.2">
      <c r="A746" s="175">
        <v>45658</v>
      </c>
      <c r="B746" s="84">
        <v>662</v>
      </c>
      <c r="C746" s="84">
        <v>26</v>
      </c>
      <c r="D746" s="84">
        <v>61</v>
      </c>
      <c r="E746" s="84">
        <v>397</v>
      </c>
      <c r="F746" s="84">
        <v>178</v>
      </c>
      <c r="G746" s="84">
        <v>4090</v>
      </c>
      <c r="H746" s="84">
        <v>510</v>
      </c>
      <c r="I746" s="84">
        <v>1000</v>
      </c>
      <c r="J746" s="84">
        <v>1830</v>
      </c>
      <c r="K746" s="84">
        <v>750</v>
      </c>
    </row>
    <row r="747" spans="1:11" x14ac:dyDescent="0.2">
      <c r="A747" s="175">
        <v>45689</v>
      </c>
      <c r="B747" s="84">
        <v>642</v>
      </c>
      <c r="C747" s="84">
        <v>33</v>
      </c>
      <c r="D747" s="84">
        <v>69</v>
      </c>
      <c r="E747" s="84">
        <v>396</v>
      </c>
      <c r="F747" s="84">
        <v>144</v>
      </c>
      <c r="G747" s="84">
        <v>4150</v>
      </c>
      <c r="H747" s="84">
        <v>500</v>
      </c>
      <c r="I747" s="84">
        <v>980</v>
      </c>
      <c r="J747" s="84">
        <v>1880</v>
      </c>
      <c r="K747" s="84">
        <v>800</v>
      </c>
    </row>
    <row r="748" spans="1:11" x14ac:dyDescent="0.2">
      <c r="A748" s="175">
        <v>45717</v>
      </c>
      <c r="B748" s="84">
        <v>660</v>
      </c>
      <c r="C748" s="84">
        <v>26</v>
      </c>
      <c r="D748" s="84">
        <v>68</v>
      </c>
      <c r="E748" s="84">
        <v>408</v>
      </c>
      <c r="F748" s="84">
        <v>158</v>
      </c>
      <c r="G748" s="84">
        <v>4020</v>
      </c>
      <c r="H748" s="84">
        <v>490</v>
      </c>
      <c r="I748" s="84">
        <v>950</v>
      </c>
      <c r="J748" s="84">
        <v>1820</v>
      </c>
      <c r="K748" s="84">
        <v>760</v>
      </c>
    </row>
    <row r="749" spans="1:11" x14ac:dyDescent="0.2">
      <c r="A749" s="175">
        <v>45748</v>
      </c>
      <c r="B749" s="84">
        <v>701</v>
      </c>
      <c r="C749" s="84">
        <v>31</v>
      </c>
      <c r="D749" s="84">
        <v>84</v>
      </c>
      <c r="E749" s="84">
        <v>434</v>
      </c>
      <c r="F749" s="84">
        <v>152</v>
      </c>
      <c r="G749" s="84">
        <v>4020</v>
      </c>
      <c r="H749" s="84">
        <v>490</v>
      </c>
      <c r="I749" s="84">
        <v>960</v>
      </c>
      <c r="J749" s="84">
        <v>1820</v>
      </c>
      <c r="K749" s="84">
        <v>750</v>
      </c>
    </row>
    <row r="750" spans="1:11" x14ac:dyDescent="0.2">
      <c r="A750" s="175">
        <v>45778</v>
      </c>
      <c r="B750" s="84">
        <v>622</v>
      </c>
      <c r="C750" s="84">
        <v>29</v>
      </c>
      <c r="D750" s="84">
        <v>82</v>
      </c>
      <c r="E750" s="84">
        <v>370</v>
      </c>
      <c r="F750" s="84">
        <v>141</v>
      </c>
      <c r="G750" s="84">
        <v>4040</v>
      </c>
      <c r="H750" s="84">
        <v>500</v>
      </c>
      <c r="I750" s="84">
        <v>980</v>
      </c>
      <c r="J750" s="84">
        <v>1850</v>
      </c>
      <c r="K750" s="84">
        <v>710</v>
      </c>
    </row>
    <row r="751" spans="1:11" x14ac:dyDescent="0.2">
      <c r="A751" s="175">
        <v>45809</v>
      </c>
      <c r="B751" s="84">
        <v>665</v>
      </c>
      <c r="C751" s="84">
        <v>25</v>
      </c>
      <c r="D751" s="84">
        <v>84</v>
      </c>
      <c r="E751" s="84">
        <v>418</v>
      </c>
      <c r="F751" s="84">
        <v>138</v>
      </c>
      <c r="G751" s="84">
        <v>3980</v>
      </c>
      <c r="H751" s="84">
        <v>480</v>
      </c>
      <c r="I751" s="84">
        <v>960</v>
      </c>
      <c r="J751" s="84">
        <v>1820</v>
      </c>
      <c r="K751" s="84">
        <v>720</v>
      </c>
    </row>
    <row r="752" spans="1:11" x14ac:dyDescent="0.2">
      <c r="A752" s="175">
        <v>45839</v>
      </c>
      <c r="B752" s="84">
        <v>648</v>
      </c>
      <c r="C752" s="84">
        <v>22</v>
      </c>
      <c r="D752" s="84">
        <v>87</v>
      </c>
      <c r="E752" s="84">
        <v>404</v>
      </c>
      <c r="F752" s="84">
        <v>135</v>
      </c>
      <c r="G752" s="84">
        <v>4030</v>
      </c>
      <c r="H752" s="84">
        <v>500</v>
      </c>
      <c r="I752" s="84">
        <v>950</v>
      </c>
      <c r="J752" s="84">
        <v>1860</v>
      </c>
      <c r="K752" s="84">
        <v>720</v>
      </c>
    </row>
    <row r="753" spans="1:11" x14ac:dyDescent="0.2">
      <c r="A753" s="175">
        <v>45870</v>
      </c>
      <c r="B753" s="84">
        <v>698</v>
      </c>
      <c r="C753" s="84">
        <v>29</v>
      </c>
      <c r="D753" s="84">
        <v>80</v>
      </c>
      <c r="E753" s="84">
        <v>436</v>
      </c>
      <c r="F753" s="84">
        <v>153</v>
      </c>
      <c r="G753" s="84">
        <v>4030</v>
      </c>
      <c r="H753" s="84">
        <v>490</v>
      </c>
      <c r="I753" s="84">
        <v>960</v>
      </c>
      <c r="J753" s="84">
        <v>1840</v>
      </c>
      <c r="K753" s="84">
        <v>740</v>
      </c>
    </row>
    <row r="754" spans="1:11" x14ac:dyDescent="0.2">
      <c r="A754" s="175">
        <v>45901</v>
      </c>
      <c r="B754" s="84">
        <v>714</v>
      </c>
      <c r="C754" s="84">
        <v>29</v>
      </c>
      <c r="D754" s="84">
        <v>97</v>
      </c>
      <c r="E754" s="84">
        <v>416</v>
      </c>
      <c r="F754" s="84">
        <v>172</v>
      </c>
      <c r="G754" s="84">
        <v>4080</v>
      </c>
      <c r="H754" s="84">
        <v>490</v>
      </c>
      <c r="I754" s="84">
        <v>950</v>
      </c>
      <c r="J754" s="84">
        <v>1870</v>
      </c>
      <c r="K754" s="84">
        <v>770</v>
      </c>
    </row>
    <row r="755" spans="1:11" x14ac:dyDescent="0.2">
      <c r="A755" s="175">
        <v>45931</v>
      </c>
      <c r="B755" s="84">
        <v>652</v>
      </c>
      <c r="C755" s="84">
        <v>41</v>
      </c>
      <c r="D755" s="84">
        <v>86</v>
      </c>
      <c r="E755" s="84">
        <v>413</v>
      </c>
      <c r="F755" s="84">
        <v>112</v>
      </c>
      <c r="G755" s="84">
        <v>4110</v>
      </c>
      <c r="H755" s="84">
        <v>490</v>
      </c>
      <c r="I755" s="84">
        <v>980</v>
      </c>
      <c r="J755" s="84">
        <v>1880</v>
      </c>
      <c r="K755" s="84">
        <v>760</v>
      </c>
    </row>
    <row r="756" spans="1:11" x14ac:dyDescent="0.2">
      <c r="A756" s="175">
        <v>45962</v>
      </c>
      <c r="B756" s="84">
        <v>757</v>
      </c>
      <c r="C756" s="84">
        <v>55</v>
      </c>
      <c r="D756" s="84">
        <v>84</v>
      </c>
      <c r="E756" s="84">
        <v>460</v>
      </c>
      <c r="F756" s="84">
        <v>158</v>
      </c>
      <c r="G756" s="84">
        <v>4090</v>
      </c>
      <c r="H756" s="84">
        <v>500</v>
      </c>
      <c r="I756" s="84">
        <v>970</v>
      </c>
      <c r="J756" s="84">
        <v>1870</v>
      </c>
      <c r="K756" s="84">
        <v>750</v>
      </c>
    </row>
    <row r="757" spans="1:11" x14ac:dyDescent="0.2">
      <c r="A757" s="175">
        <v>45992</v>
      </c>
      <c r="B757" s="84">
        <v>723</v>
      </c>
      <c r="C757" s="84">
        <v>59</v>
      </c>
      <c r="D757" s="84">
        <v>106</v>
      </c>
      <c r="E757" s="84">
        <v>398</v>
      </c>
      <c r="F757" s="84">
        <v>160</v>
      </c>
      <c r="G757" s="84">
        <v>4270</v>
      </c>
      <c r="H757" s="84">
        <v>510</v>
      </c>
      <c r="I757" s="84">
        <v>990</v>
      </c>
      <c r="J757" s="84">
        <v>1990</v>
      </c>
      <c r="K757" s="84">
        <v>780</v>
      </c>
    </row>
    <row r="758" spans="1:11" x14ac:dyDescent="0.2">
      <c r="A758" s="175">
        <v>46023</v>
      </c>
      <c r="B758" s="84">
        <v>576</v>
      </c>
      <c r="C758" s="84">
        <v>29</v>
      </c>
      <c r="D758" s="84">
        <v>75</v>
      </c>
      <c r="E758" s="84">
        <v>339</v>
      </c>
      <c r="F758" s="84">
        <v>133</v>
      </c>
      <c r="G758" s="84">
        <v>4020</v>
      </c>
      <c r="H758" s="84">
        <v>500</v>
      </c>
      <c r="I758" s="84">
        <v>930</v>
      </c>
      <c r="J758" s="84">
        <v>1860</v>
      </c>
      <c r="K758" s="84">
        <v>730</v>
      </c>
    </row>
    <row r="759" spans="1:11" x14ac:dyDescent="0.2">
      <c r="A759" s="175">
        <v>46054</v>
      </c>
      <c r="B759" s="84">
        <v>630</v>
      </c>
      <c r="C759" s="84">
        <v>19</v>
      </c>
      <c r="D759" s="84">
        <v>82</v>
      </c>
      <c r="E759" s="84">
        <v>388</v>
      </c>
      <c r="F759" s="84">
        <v>141</v>
      </c>
      <c r="G759" s="84">
        <v>4130</v>
      </c>
      <c r="H759" s="84">
        <v>470</v>
      </c>
      <c r="I759" s="84">
        <v>960</v>
      </c>
      <c r="J759" s="84">
        <v>1920</v>
      </c>
      <c r="K759" s="84">
        <v>780</v>
      </c>
    </row>
    <row r="760" spans="1:11" x14ac:dyDescent="0.2">
      <c r="A760" s="175">
        <v>46082</v>
      </c>
      <c r="B760" s="84">
        <v>664</v>
      </c>
      <c r="C760" s="84">
        <v>33</v>
      </c>
      <c r="D760" s="84">
        <v>85</v>
      </c>
      <c r="E760" s="84">
        <v>412</v>
      </c>
      <c r="F760" s="84">
        <v>134</v>
      </c>
      <c r="G760" s="84">
        <v>4010</v>
      </c>
      <c r="H760" s="84">
        <v>450</v>
      </c>
      <c r="I760" s="84">
        <v>930</v>
      </c>
      <c r="J760" s="84">
        <v>1860</v>
      </c>
      <c r="K760" s="84">
        <v>770</v>
      </c>
    </row>
    <row r="761" spans="1:11" x14ac:dyDescent="0.2">
      <c r="A761" s="175">
        <v>46113</v>
      </c>
      <c r="B761" s="84">
        <v>626</v>
      </c>
      <c r="C761" s="84">
        <v>33</v>
      </c>
      <c r="D761" s="84">
        <v>68</v>
      </c>
      <c r="E761" s="84">
        <v>365</v>
      </c>
      <c r="F761" s="84">
        <v>160</v>
      </c>
      <c r="G761" s="84">
        <v>4040</v>
      </c>
      <c r="H761" s="84">
        <v>450</v>
      </c>
      <c r="I761" s="84">
        <v>940</v>
      </c>
      <c r="J761" s="84">
        <v>1900</v>
      </c>
      <c r="K761" s="84">
        <v>750</v>
      </c>
    </row>
    <row r="762" spans="1:11" x14ac:dyDescent="0.2">
      <c r="A762" s="175">
        <v>46143</v>
      </c>
      <c r="B762" s="84">
        <v>580</v>
      </c>
      <c r="C762" s="84">
        <v>34</v>
      </c>
      <c r="D762" s="84">
        <v>79</v>
      </c>
      <c r="E762" s="84">
        <v>350</v>
      </c>
      <c r="F762" s="84">
        <v>117</v>
      </c>
      <c r="G762" s="84">
        <v>4190</v>
      </c>
      <c r="H762" s="84">
        <v>470</v>
      </c>
      <c r="I762" s="84">
        <v>1010</v>
      </c>
      <c r="J762" s="84">
        <v>1960</v>
      </c>
      <c r="K762" s="84">
        <v>750</v>
      </c>
    </row>
  </sheetData>
  <phoneticPr fontId="9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7"/>
  <sheetViews>
    <sheetView tabSelected="1" workbookViewId="0">
      <pane ySplit="1" topLeftCell="A46" activePane="bottomLeft" state="frozen"/>
      <selection activeCell="H256" sqref="H256"/>
      <selection pane="bottomLeft" activeCell="H748" sqref="H748"/>
    </sheetView>
  </sheetViews>
  <sheetFormatPr defaultColWidth="9.28515625" defaultRowHeight="12.75" x14ac:dyDescent="0.2"/>
  <cols>
    <col min="1" max="1" width="5" style="12" bestFit="1" customWidth="1"/>
    <col min="2" max="11" width="9.42578125" style="12" customWidth="1"/>
    <col min="12" max="16384" width="9.28515625" style="12"/>
  </cols>
  <sheetData>
    <row r="1" spans="1:11" x14ac:dyDescent="0.2">
      <c r="A1" s="12" t="s">
        <v>0</v>
      </c>
      <c r="B1" s="12" t="s">
        <v>74</v>
      </c>
      <c r="C1" s="12" t="s">
        <v>75</v>
      </c>
      <c r="D1" s="12" t="s">
        <v>358</v>
      </c>
      <c r="E1" s="12" t="s">
        <v>77</v>
      </c>
      <c r="F1" s="12" t="s">
        <v>78</v>
      </c>
      <c r="G1" s="12" t="s">
        <v>79</v>
      </c>
      <c r="H1" s="12" t="s">
        <v>80</v>
      </c>
      <c r="I1" s="12" t="s">
        <v>359</v>
      </c>
      <c r="J1" s="12" t="s">
        <v>82</v>
      </c>
      <c r="K1" s="12" t="s">
        <v>83</v>
      </c>
    </row>
    <row r="2" spans="1:11" x14ac:dyDescent="0.2">
      <c r="A2" s="169">
        <v>1963</v>
      </c>
      <c r="B2" s="170">
        <v>560</v>
      </c>
      <c r="C2" s="170">
        <v>87</v>
      </c>
      <c r="D2" s="170">
        <v>134</v>
      </c>
      <c r="E2" s="170">
        <v>199</v>
      </c>
      <c r="F2" s="170">
        <v>141</v>
      </c>
    </row>
    <row r="3" spans="1:11" x14ac:dyDescent="0.2">
      <c r="A3" s="169">
        <v>1964</v>
      </c>
      <c r="B3" s="170">
        <v>565</v>
      </c>
      <c r="C3" s="170">
        <v>90</v>
      </c>
      <c r="D3" s="170">
        <v>146</v>
      </c>
      <c r="E3" s="170">
        <v>200</v>
      </c>
      <c r="F3" s="170">
        <v>129</v>
      </c>
    </row>
    <row r="4" spans="1:11" x14ac:dyDescent="0.2">
      <c r="A4" s="169">
        <v>1965</v>
      </c>
      <c r="B4" s="170">
        <v>575</v>
      </c>
      <c r="C4" s="170">
        <v>94</v>
      </c>
      <c r="D4" s="170">
        <v>142</v>
      </c>
      <c r="E4" s="170">
        <v>210</v>
      </c>
      <c r="F4" s="170">
        <v>129</v>
      </c>
    </row>
    <row r="5" spans="1:11" x14ac:dyDescent="0.2">
      <c r="A5" s="169">
        <v>1966</v>
      </c>
      <c r="B5" s="170">
        <v>461</v>
      </c>
      <c r="C5" s="170">
        <v>84</v>
      </c>
      <c r="D5" s="170">
        <v>113</v>
      </c>
      <c r="E5" s="170">
        <v>166</v>
      </c>
      <c r="F5" s="170">
        <v>99</v>
      </c>
    </row>
    <row r="6" spans="1:11" x14ac:dyDescent="0.2">
      <c r="A6" s="169">
        <v>1967</v>
      </c>
      <c r="B6" s="170">
        <v>487</v>
      </c>
      <c r="C6" s="170">
        <v>77</v>
      </c>
      <c r="D6" s="170">
        <v>112</v>
      </c>
      <c r="E6" s="170">
        <v>179</v>
      </c>
      <c r="F6" s="170">
        <v>119</v>
      </c>
    </row>
    <row r="7" spans="1:11" x14ac:dyDescent="0.2">
      <c r="A7" s="169">
        <v>1968</v>
      </c>
      <c r="B7" s="170">
        <v>490</v>
      </c>
      <c r="C7" s="170">
        <v>73</v>
      </c>
      <c r="D7" s="170">
        <v>119</v>
      </c>
      <c r="E7" s="170">
        <v>177</v>
      </c>
      <c r="F7" s="170">
        <v>121</v>
      </c>
      <c r="G7" s="12">
        <v>1569</v>
      </c>
      <c r="H7" s="12">
        <v>243</v>
      </c>
      <c r="I7" s="12">
        <v>490</v>
      </c>
      <c r="J7" s="12">
        <v>529</v>
      </c>
      <c r="K7" s="12">
        <v>308</v>
      </c>
    </row>
    <row r="8" spans="1:11" x14ac:dyDescent="0.2">
      <c r="A8" s="169">
        <v>1969</v>
      </c>
      <c r="B8" s="170">
        <v>448</v>
      </c>
      <c r="C8" s="170">
        <v>62</v>
      </c>
      <c r="D8" s="170">
        <v>97</v>
      </c>
      <c r="E8" s="170">
        <v>175</v>
      </c>
      <c r="F8" s="170">
        <v>114</v>
      </c>
      <c r="G8" s="12">
        <v>1594</v>
      </c>
      <c r="H8" s="12">
        <v>240</v>
      </c>
      <c r="I8" s="12">
        <v>508</v>
      </c>
      <c r="J8" s="12">
        <v>538</v>
      </c>
      <c r="K8" s="12">
        <v>308</v>
      </c>
    </row>
    <row r="9" spans="1:11" x14ac:dyDescent="0.2">
      <c r="A9" s="169">
        <v>1970</v>
      </c>
      <c r="B9" s="170">
        <v>485</v>
      </c>
      <c r="C9" s="170">
        <v>61</v>
      </c>
      <c r="D9" s="170">
        <v>100</v>
      </c>
      <c r="E9" s="170">
        <v>203</v>
      </c>
      <c r="F9" s="170">
        <v>121</v>
      </c>
      <c r="G9" s="12">
        <v>1612</v>
      </c>
      <c r="H9" s="12">
        <v>251</v>
      </c>
      <c r="I9" s="12">
        <v>501</v>
      </c>
      <c r="J9" s="12">
        <v>568</v>
      </c>
      <c r="K9" s="12">
        <v>292</v>
      </c>
    </row>
    <row r="10" spans="1:11" x14ac:dyDescent="0.2">
      <c r="A10" s="169">
        <v>1971</v>
      </c>
      <c r="B10" s="170">
        <v>656</v>
      </c>
      <c r="C10" s="170">
        <v>82</v>
      </c>
      <c r="D10" s="170">
        <v>127</v>
      </c>
      <c r="E10" s="170">
        <v>270</v>
      </c>
      <c r="F10" s="170">
        <v>176</v>
      </c>
      <c r="G10" s="12">
        <v>2018</v>
      </c>
      <c r="H10" s="12">
        <v>311</v>
      </c>
      <c r="I10" s="12">
        <v>583</v>
      </c>
      <c r="J10" s="12">
        <v>735</v>
      </c>
      <c r="K10" s="12">
        <v>389</v>
      </c>
    </row>
    <row r="11" spans="1:11" x14ac:dyDescent="0.2">
      <c r="A11" s="169">
        <v>1972</v>
      </c>
      <c r="B11" s="170">
        <v>718</v>
      </c>
      <c r="C11" s="170">
        <v>96</v>
      </c>
      <c r="D11" s="170">
        <v>130</v>
      </c>
      <c r="E11" s="170">
        <v>305</v>
      </c>
      <c r="F11" s="170">
        <v>187</v>
      </c>
      <c r="G11" s="12">
        <v>2252</v>
      </c>
      <c r="H11" s="12">
        <v>361</v>
      </c>
      <c r="I11" s="12">
        <v>630</v>
      </c>
      <c r="J11" s="12">
        <v>788</v>
      </c>
      <c r="K11" s="12">
        <v>473</v>
      </c>
    </row>
    <row r="12" spans="1:11" x14ac:dyDescent="0.2">
      <c r="A12" s="169">
        <v>1973</v>
      </c>
      <c r="B12" s="170">
        <v>634</v>
      </c>
      <c r="C12" s="170">
        <v>95</v>
      </c>
      <c r="D12" s="170">
        <v>120</v>
      </c>
      <c r="E12" s="170">
        <v>257</v>
      </c>
      <c r="F12" s="170">
        <v>161</v>
      </c>
      <c r="G12" s="12">
        <v>2334</v>
      </c>
      <c r="H12" s="12">
        <v>367</v>
      </c>
      <c r="I12" s="12">
        <v>674</v>
      </c>
      <c r="J12" s="12">
        <v>847</v>
      </c>
      <c r="K12" s="12">
        <v>446</v>
      </c>
    </row>
    <row r="13" spans="1:11" x14ac:dyDescent="0.2">
      <c r="A13" s="169">
        <v>1974</v>
      </c>
      <c r="B13" s="170">
        <v>519</v>
      </c>
      <c r="C13" s="170">
        <v>69</v>
      </c>
      <c r="D13" s="170">
        <v>103</v>
      </c>
      <c r="E13" s="170">
        <v>207</v>
      </c>
      <c r="F13" s="170">
        <v>139</v>
      </c>
      <c r="G13" s="12">
        <v>2272</v>
      </c>
      <c r="H13" s="12">
        <v>354</v>
      </c>
      <c r="I13" s="12">
        <v>645</v>
      </c>
      <c r="J13" s="12">
        <v>839</v>
      </c>
      <c r="K13" s="12">
        <v>434</v>
      </c>
    </row>
    <row r="14" spans="1:11" x14ac:dyDescent="0.2">
      <c r="A14" s="169">
        <v>1975</v>
      </c>
      <c r="B14" s="170">
        <v>549</v>
      </c>
      <c r="C14" s="170">
        <v>71</v>
      </c>
      <c r="D14" s="170">
        <v>106</v>
      </c>
      <c r="E14" s="170">
        <v>222</v>
      </c>
      <c r="F14" s="170">
        <v>150</v>
      </c>
      <c r="G14" s="12">
        <v>2476</v>
      </c>
      <c r="H14" s="12">
        <v>370</v>
      </c>
      <c r="I14" s="12">
        <v>701</v>
      </c>
      <c r="J14" s="12">
        <v>862</v>
      </c>
      <c r="K14" s="12">
        <v>543</v>
      </c>
    </row>
    <row r="15" spans="1:11" x14ac:dyDescent="0.2">
      <c r="A15" s="169">
        <v>1976</v>
      </c>
      <c r="B15" s="170">
        <v>646</v>
      </c>
      <c r="C15" s="170">
        <v>72</v>
      </c>
      <c r="D15" s="170">
        <v>128</v>
      </c>
      <c r="E15" s="170">
        <v>247</v>
      </c>
      <c r="F15" s="170">
        <v>199</v>
      </c>
      <c r="G15" s="12">
        <v>3064</v>
      </c>
      <c r="H15" s="12">
        <v>439</v>
      </c>
      <c r="I15" s="12">
        <v>881</v>
      </c>
      <c r="J15" s="12">
        <v>1033</v>
      </c>
      <c r="K15" s="12">
        <v>712</v>
      </c>
    </row>
    <row r="16" spans="1:11" x14ac:dyDescent="0.2">
      <c r="A16" s="169">
        <v>1977</v>
      </c>
      <c r="B16" s="170">
        <v>819</v>
      </c>
      <c r="C16" s="170">
        <v>86</v>
      </c>
      <c r="D16" s="170">
        <v>162</v>
      </c>
      <c r="E16" s="170">
        <v>317</v>
      </c>
      <c r="F16" s="170">
        <v>255</v>
      </c>
      <c r="G16" s="12">
        <v>3650</v>
      </c>
      <c r="H16" s="12">
        <v>515</v>
      </c>
      <c r="I16" s="12">
        <v>1101</v>
      </c>
      <c r="J16" s="12">
        <v>1231</v>
      </c>
      <c r="K16" s="12">
        <v>803</v>
      </c>
    </row>
    <row r="17" spans="1:17" x14ac:dyDescent="0.2">
      <c r="A17" s="169">
        <v>1978</v>
      </c>
      <c r="B17" s="170">
        <v>817</v>
      </c>
      <c r="C17" s="170">
        <v>78</v>
      </c>
      <c r="D17" s="170">
        <v>145</v>
      </c>
      <c r="E17" s="170">
        <v>331</v>
      </c>
      <c r="F17" s="170">
        <v>262</v>
      </c>
      <c r="G17" s="12">
        <v>3986</v>
      </c>
      <c r="H17" s="12">
        <v>516</v>
      </c>
      <c r="I17" s="12">
        <v>1144</v>
      </c>
      <c r="J17" s="12">
        <v>1416</v>
      </c>
      <c r="K17" s="12">
        <v>911</v>
      </c>
    </row>
    <row r="18" spans="1:17" x14ac:dyDescent="0.2">
      <c r="A18" s="169">
        <v>1979</v>
      </c>
      <c r="B18" s="170">
        <v>709</v>
      </c>
      <c r="C18" s="170">
        <v>67</v>
      </c>
      <c r="D18" s="170">
        <v>112</v>
      </c>
      <c r="E18" s="170">
        <v>304</v>
      </c>
      <c r="F18" s="170">
        <v>225</v>
      </c>
      <c r="G18" s="12">
        <v>3827</v>
      </c>
      <c r="H18" s="12">
        <v>526</v>
      </c>
      <c r="I18" s="12">
        <v>1061</v>
      </c>
      <c r="J18" s="12">
        <v>1353</v>
      </c>
      <c r="K18" s="12">
        <v>887</v>
      </c>
    </row>
    <row r="19" spans="1:17" x14ac:dyDescent="0.2">
      <c r="A19" s="169">
        <v>1980</v>
      </c>
      <c r="B19" s="170">
        <v>545</v>
      </c>
      <c r="C19" s="170">
        <v>50</v>
      </c>
      <c r="D19" s="170">
        <v>81</v>
      </c>
      <c r="E19" s="170">
        <v>267</v>
      </c>
      <c r="F19" s="170">
        <v>145</v>
      </c>
      <c r="G19" s="12">
        <v>2973</v>
      </c>
      <c r="H19" s="12">
        <v>403</v>
      </c>
      <c r="I19" s="12">
        <v>806</v>
      </c>
      <c r="J19" s="12">
        <v>1092</v>
      </c>
      <c r="K19" s="12">
        <v>672</v>
      </c>
    </row>
    <row r="20" spans="1:17" x14ac:dyDescent="0.2">
      <c r="A20" s="169">
        <v>1981</v>
      </c>
      <c r="B20" s="170">
        <v>436</v>
      </c>
      <c r="C20" s="170">
        <v>46</v>
      </c>
      <c r="D20" s="170">
        <v>60</v>
      </c>
      <c r="E20" s="170">
        <v>219</v>
      </c>
      <c r="F20" s="170">
        <v>112</v>
      </c>
      <c r="G20" s="12">
        <v>2419</v>
      </c>
      <c r="H20" s="12">
        <v>353</v>
      </c>
      <c r="I20" s="12">
        <v>632</v>
      </c>
      <c r="J20" s="12">
        <v>917</v>
      </c>
      <c r="K20" s="12">
        <v>516</v>
      </c>
    </row>
    <row r="21" spans="1:17" x14ac:dyDescent="0.2">
      <c r="A21" s="169">
        <v>1982</v>
      </c>
      <c r="B21" s="170">
        <v>412</v>
      </c>
      <c r="C21" s="170">
        <v>47</v>
      </c>
      <c r="D21" s="170">
        <v>48</v>
      </c>
      <c r="E21" s="170">
        <v>219</v>
      </c>
      <c r="F21" s="170">
        <v>99</v>
      </c>
      <c r="G21" s="12">
        <v>1990</v>
      </c>
      <c r="H21" s="12">
        <v>354</v>
      </c>
      <c r="I21" s="12">
        <v>490</v>
      </c>
      <c r="J21" s="12">
        <v>780</v>
      </c>
      <c r="K21" s="12">
        <v>366</v>
      </c>
    </row>
    <row r="22" spans="1:17" x14ac:dyDescent="0.2">
      <c r="A22" s="169">
        <v>1983</v>
      </c>
      <c r="B22" s="170">
        <v>623</v>
      </c>
      <c r="C22" s="170">
        <v>76</v>
      </c>
      <c r="D22" s="170">
        <v>71</v>
      </c>
      <c r="E22" s="170">
        <v>323</v>
      </c>
      <c r="F22" s="170">
        <v>152</v>
      </c>
      <c r="G22" s="12">
        <v>2719</v>
      </c>
      <c r="H22" s="12">
        <v>493</v>
      </c>
      <c r="I22" s="12">
        <v>709</v>
      </c>
      <c r="J22" s="12">
        <v>1035</v>
      </c>
      <c r="K22" s="12">
        <v>481</v>
      </c>
    </row>
    <row r="23" spans="1:17" x14ac:dyDescent="0.2">
      <c r="A23" s="169">
        <v>1984</v>
      </c>
      <c r="B23" s="170">
        <v>639</v>
      </c>
      <c r="C23" s="170">
        <v>94</v>
      </c>
      <c r="D23" s="170">
        <v>76</v>
      </c>
      <c r="E23" s="170">
        <v>309</v>
      </c>
      <c r="F23" s="170">
        <v>160</v>
      </c>
      <c r="G23" s="12">
        <v>2868</v>
      </c>
      <c r="H23" s="12">
        <v>511</v>
      </c>
      <c r="I23" s="12">
        <v>755</v>
      </c>
      <c r="J23" s="12">
        <v>1073</v>
      </c>
      <c r="K23" s="12">
        <v>529</v>
      </c>
    </row>
    <row r="24" spans="1:17" x14ac:dyDescent="0.2">
      <c r="A24" s="169">
        <v>1985</v>
      </c>
      <c r="B24" s="170">
        <v>688</v>
      </c>
      <c r="C24" s="170">
        <v>112</v>
      </c>
      <c r="D24" s="170">
        <v>82</v>
      </c>
      <c r="E24" s="170">
        <v>323</v>
      </c>
      <c r="F24" s="170">
        <v>171</v>
      </c>
      <c r="G24" s="12">
        <v>3214</v>
      </c>
      <c r="H24" s="12">
        <v>622</v>
      </c>
      <c r="I24" s="12">
        <v>866</v>
      </c>
      <c r="J24" s="12">
        <v>1172</v>
      </c>
      <c r="K24" s="12">
        <v>554</v>
      </c>
    </row>
    <row r="25" spans="1:17" x14ac:dyDescent="0.2">
      <c r="A25" s="169">
        <v>1986</v>
      </c>
      <c r="B25" s="170">
        <v>750</v>
      </c>
      <c r="C25" s="170">
        <v>136</v>
      </c>
      <c r="D25" s="170">
        <v>96</v>
      </c>
      <c r="E25" s="170">
        <v>322</v>
      </c>
      <c r="F25" s="170">
        <v>196</v>
      </c>
      <c r="G25" s="12">
        <v>3565</v>
      </c>
      <c r="H25" s="12">
        <v>703</v>
      </c>
      <c r="I25" s="12">
        <v>991</v>
      </c>
      <c r="J25" s="12">
        <v>1261</v>
      </c>
      <c r="K25" s="12">
        <v>610</v>
      </c>
    </row>
    <row r="26" spans="1:17" x14ac:dyDescent="0.2">
      <c r="A26" s="169">
        <v>1987</v>
      </c>
      <c r="B26" s="170">
        <v>671</v>
      </c>
      <c r="C26" s="170">
        <v>117</v>
      </c>
      <c r="D26" s="170">
        <v>97</v>
      </c>
      <c r="E26" s="170">
        <v>271</v>
      </c>
      <c r="F26" s="170">
        <v>186</v>
      </c>
      <c r="G26" s="12">
        <v>3526</v>
      </c>
      <c r="H26" s="12">
        <v>685</v>
      </c>
      <c r="I26" s="12">
        <v>959</v>
      </c>
      <c r="J26" s="12">
        <v>1282</v>
      </c>
      <c r="K26" s="12">
        <v>600</v>
      </c>
    </row>
    <row r="27" spans="1:17" x14ac:dyDescent="0.2">
      <c r="A27" s="169">
        <v>1988</v>
      </c>
      <c r="B27" s="170">
        <v>676</v>
      </c>
      <c r="C27" s="170">
        <v>101</v>
      </c>
      <c r="D27" s="170">
        <v>97</v>
      </c>
      <c r="E27" s="170">
        <v>276</v>
      </c>
      <c r="F27" s="170">
        <v>202</v>
      </c>
      <c r="G27" s="12">
        <v>3594</v>
      </c>
      <c r="H27" s="12">
        <v>673</v>
      </c>
      <c r="I27" s="12">
        <v>929</v>
      </c>
      <c r="J27" s="12">
        <v>1350</v>
      </c>
      <c r="K27" s="12">
        <v>642</v>
      </c>
    </row>
    <row r="28" spans="1:17" x14ac:dyDescent="0.2">
      <c r="A28" s="169">
        <v>1989</v>
      </c>
      <c r="B28" s="170">
        <v>650</v>
      </c>
      <c r="C28" s="170">
        <v>86</v>
      </c>
      <c r="D28" s="170">
        <v>102</v>
      </c>
      <c r="E28" s="170">
        <v>260</v>
      </c>
      <c r="F28" s="170">
        <v>202</v>
      </c>
      <c r="G28" s="12">
        <v>3346</v>
      </c>
      <c r="H28" s="12">
        <v>531</v>
      </c>
      <c r="I28" s="12">
        <v>855</v>
      </c>
      <c r="J28" s="12">
        <v>1185</v>
      </c>
      <c r="K28" s="12">
        <v>775</v>
      </c>
    </row>
    <row r="29" spans="1:17" ht="12.75" customHeight="1" x14ac:dyDescent="0.2">
      <c r="A29" s="169">
        <v>1990</v>
      </c>
      <c r="B29" s="170">
        <v>534</v>
      </c>
      <c r="C29" s="170">
        <v>71</v>
      </c>
      <c r="D29" s="170">
        <v>89</v>
      </c>
      <c r="E29" s="170">
        <v>225</v>
      </c>
      <c r="F29" s="170">
        <v>149</v>
      </c>
      <c r="G29" s="12">
        <v>3211</v>
      </c>
      <c r="H29" s="12">
        <v>469</v>
      </c>
      <c r="I29" s="12">
        <v>831</v>
      </c>
      <c r="J29" s="12">
        <v>1202</v>
      </c>
      <c r="K29" s="12">
        <v>709</v>
      </c>
      <c r="M29" s="170"/>
      <c r="N29" s="170"/>
      <c r="O29" s="170"/>
      <c r="P29" s="170"/>
      <c r="Q29" s="170"/>
    </row>
    <row r="30" spans="1:17" ht="12.75" customHeight="1" x14ac:dyDescent="0.2">
      <c r="A30" s="169">
        <v>1991</v>
      </c>
      <c r="B30" s="170">
        <v>509</v>
      </c>
      <c r="C30" s="170">
        <v>57</v>
      </c>
      <c r="D30" s="170">
        <v>93</v>
      </c>
      <c r="E30" s="170">
        <v>215</v>
      </c>
      <c r="F30" s="170">
        <v>144</v>
      </c>
      <c r="G30" s="12">
        <v>3145</v>
      </c>
      <c r="H30" s="12">
        <v>591</v>
      </c>
      <c r="I30" s="12">
        <v>863</v>
      </c>
      <c r="J30" s="12">
        <v>1067</v>
      </c>
      <c r="K30" s="12">
        <v>624</v>
      </c>
      <c r="M30" s="170"/>
      <c r="N30" s="170"/>
      <c r="O30" s="170"/>
      <c r="P30" s="170"/>
      <c r="Q30" s="170"/>
    </row>
    <row r="31" spans="1:17" ht="12.75" customHeight="1" x14ac:dyDescent="0.2">
      <c r="A31" s="169">
        <v>1992</v>
      </c>
      <c r="B31" s="170">
        <v>610</v>
      </c>
      <c r="C31" s="170">
        <v>65</v>
      </c>
      <c r="D31" s="170">
        <v>116</v>
      </c>
      <c r="E31" s="170">
        <v>259</v>
      </c>
      <c r="F31" s="170">
        <v>170</v>
      </c>
      <c r="G31" s="12">
        <v>3432</v>
      </c>
      <c r="H31" s="12">
        <v>666</v>
      </c>
      <c r="I31" s="12">
        <v>967</v>
      </c>
      <c r="J31" s="12">
        <v>1126</v>
      </c>
      <c r="K31" s="12">
        <v>674</v>
      </c>
      <c r="M31" s="170"/>
      <c r="N31" s="170"/>
      <c r="O31" s="170"/>
      <c r="P31" s="170"/>
      <c r="Q31" s="170"/>
    </row>
    <row r="32" spans="1:17" ht="12.75" customHeight="1" x14ac:dyDescent="0.2">
      <c r="A32" s="169">
        <v>1993</v>
      </c>
      <c r="B32" s="170">
        <v>666</v>
      </c>
      <c r="C32" s="170">
        <v>60</v>
      </c>
      <c r="D32" s="170">
        <v>123</v>
      </c>
      <c r="E32" s="170">
        <v>295</v>
      </c>
      <c r="F32" s="170">
        <v>188</v>
      </c>
      <c r="G32" s="12">
        <v>3739</v>
      </c>
      <c r="H32" s="12">
        <v>709</v>
      </c>
      <c r="I32" s="12">
        <v>1027</v>
      </c>
      <c r="J32" s="12">
        <v>1262</v>
      </c>
      <c r="K32" s="12">
        <v>740</v>
      </c>
      <c r="M32" s="170"/>
      <c r="N32" s="170"/>
      <c r="O32" s="170"/>
      <c r="P32" s="170"/>
      <c r="Q32" s="170"/>
    </row>
    <row r="33" spans="1:17" ht="12.75" customHeight="1" x14ac:dyDescent="0.2">
      <c r="A33" s="169">
        <v>1994</v>
      </c>
      <c r="B33" s="170">
        <v>670</v>
      </c>
      <c r="C33" s="170">
        <v>61</v>
      </c>
      <c r="D33" s="170">
        <v>123</v>
      </c>
      <c r="E33" s="170">
        <v>295</v>
      </c>
      <c r="F33" s="170">
        <v>191</v>
      </c>
      <c r="G33" s="12">
        <v>3886</v>
      </c>
      <c r="H33" s="12">
        <v>723</v>
      </c>
      <c r="I33" s="12">
        <v>1031</v>
      </c>
      <c r="J33" s="12">
        <v>1321</v>
      </c>
      <c r="K33" s="12">
        <v>812</v>
      </c>
      <c r="M33" s="170"/>
      <c r="N33" s="170"/>
      <c r="O33" s="170"/>
      <c r="P33" s="170"/>
      <c r="Q33" s="170"/>
    </row>
    <row r="34" spans="1:17" ht="12.75" customHeight="1" x14ac:dyDescent="0.2">
      <c r="A34" s="169">
        <v>1995</v>
      </c>
      <c r="B34" s="170">
        <v>667</v>
      </c>
      <c r="C34" s="170">
        <v>55</v>
      </c>
      <c r="D34" s="170">
        <v>125</v>
      </c>
      <c r="E34" s="170">
        <v>300</v>
      </c>
      <c r="F34" s="170">
        <v>187</v>
      </c>
      <c r="G34" s="12">
        <v>3852</v>
      </c>
      <c r="H34" s="12">
        <v>717</v>
      </c>
      <c r="I34" s="12">
        <v>1010</v>
      </c>
      <c r="J34" s="12">
        <v>1315</v>
      </c>
      <c r="K34" s="12">
        <v>810</v>
      </c>
      <c r="M34" s="170"/>
      <c r="N34" s="170"/>
      <c r="O34" s="170"/>
      <c r="P34" s="170"/>
      <c r="Q34" s="170"/>
    </row>
    <row r="35" spans="1:17" ht="12.75" customHeight="1" x14ac:dyDescent="0.2">
      <c r="A35" s="169">
        <v>1996</v>
      </c>
      <c r="B35" s="170">
        <v>757</v>
      </c>
      <c r="C35" s="170">
        <v>74</v>
      </c>
      <c r="D35" s="170">
        <v>137</v>
      </c>
      <c r="E35" s="170">
        <v>337</v>
      </c>
      <c r="F35" s="170">
        <v>209</v>
      </c>
      <c r="G35" s="12">
        <v>4167</v>
      </c>
      <c r="H35" s="12">
        <v>772</v>
      </c>
      <c r="I35" s="12">
        <v>1060</v>
      </c>
      <c r="J35" s="12">
        <v>1394</v>
      </c>
      <c r="K35" s="12">
        <v>941</v>
      </c>
      <c r="M35" s="170"/>
      <c r="N35" s="170"/>
      <c r="O35" s="170"/>
      <c r="P35" s="170"/>
      <c r="Q35" s="170"/>
    </row>
    <row r="36" spans="1:17" ht="12.75" customHeight="1" x14ac:dyDescent="0.2">
      <c r="A36" s="169">
        <v>1997</v>
      </c>
      <c r="B36" s="170">
        <v>804</v>
      </c>
      <c r="C36" s="170">
        <v>78</v>
      </c>
      <c r="D36" s="170">
        <v>140</v>
      </c>
      <c r="E36" s="170">
        <v>363</v>
      </c>
      <c r="F36" s="170">
        <v>223</v>
      </c>
      <c r="G36" s="12">
        <v>4371</v>
      </c>
      <c r="H36" s="12">
        <v>812</v>
      </c>
      <c r="I36" s="12">
        <v>1088</v>
      </c>
      <c r="J36" s="12">
        <v>1474</v>
      </c>
      <c r="K36" s="12">
        <v>997</v>
      </c>
      <c r="M36" s="170"/>
      <c r="N36" s="170"/>
      <c r="O36" s="170"/>
      <c r="P36" s="170"/>
      <c r="Q36" s="170"/>
    </row>
    <row r="37" spans="1:17" ht="12.75" customHeight="1" x14ac:dyDescent="0.2">
      <c r="A37" s="169">
        <v>1998</v>
      </c>
      <c r="B37" s="170">
        <v>886</v>
      </c>
      <c r="C37" s="170">
        <v>81</v>
      </c>
      <c r="D37" s="170">
        <v>164</v>
      </c>
      <c r="E37" s="170">
        <v>398</v>
      </c>
      <c r="F37" s="170">
        <v>243</v>
      </c>
      <c r="G37" s="12">
        <v>4966</v>
      </c>
      <c r="H37" s="12">
        <v>898</v>
      </c>
      <c r="I37" s="12">
        <v>1228</v>
      </c>
      <c r="J37" s="12">
        <v>1724</v>
      </c>
      <c r="K37" s="12">
        <v>1115</v>
      </c>
      <c r="M37" s="170"/>
      <c r="N37" s="170"/>
      <c r="O37" s="170"/>
      <c r="P37" s="170"/>
      <c r="Q37" s="170"/>
    </row>
    <row r="38" spans="1:17" ht="12.75" customHeight="1" x14ac:dyDescent="0.2">
      <c r="A38" s="169">
        <v>1999</v>
      </c>
      <c r="B38" s="170">
        <v>880</v>
      </c>
      <c r="C38" s="170">
        <v>76</v>
      </c>
      <c r="D38" s="170">
        <v>168</v>
      </c>
      <c r="E38" s="170">
        <v>395</v>
      </c>
      <c r="F38" s="170">
        <v>242</v>
      </c>
      <c r="G38" s="12">
        <v>5183</v>
      </c>
      <c r="H38" s="12">
        <v>910</v>
      </c>
      <c r="I38" s="12">
        <v>1246</v>
      </c>
      <c r="J38" s="12">
        <v>1850</v>
      </c>
      <c r="K38" s="12">
        <v>1177</v>
      </c>
      <c r="M38" s="170"/>
      <c r="N38" s="170"/>
      <c r="O38" s="170"/>
      <c r="P38" s="170"/>
      <c r="Q38" s="170"/>
    </row>
    <row r="39" spans="1:17" ht="12.75" customHeight="1" x14ac:dyDescent="0.2">
      <c r="A39" s="169">
        <v>2000</v>
      </c>
      <c r="B39" s="170">
        <v>877</v>
      </c>
      <c r="C39" s="170">
        <v>71</v>
      </c>
      <c r="D39" s="170">
        <v>155</v>
      </c>
      <c r="E39" s="170">
        <v>406</v>
      </c>
      <c r="F39" s="170">
        <v>244</v>
      </c>
      <c r="G39" s="12">
        <v>5174</v>
      </c>
      <c r="H39" s="12">
        <v>911</v>
      </c>
      <c r="I39" s="12">
        <v>1222</v>
      </c>
      <c r="J39" s="12">
        <v>1866</v>
      </c>
      <c r="K39" s="12">
        <v>1174</v>
      </c>
      <c r="M39" s="170"/>
      <c r="N39" s="170"/>
      <c r="O39" s="170"/>
      <c r="P39" s="170"/>
      <c r="Q39" s="170"/>
    </row>
    <row r="40" spans="1:17" ht="12.75" customHeight="1" x14ac:dyDescent="0.2">
      <c r="A40" s="169">
        <v>2001</v>
      </c>
      <c r="B40" s="170">
        <v>908</v>
      </c>
      <c r="C40" s="170">
        <v>66</v>
      </c>
      <c r="D40" s="170">
        <v>164</v>
      </c>
      <c r="E40" s="170">
        <v>439</v>
      </c>
      <c r="F40" s="170">
        <v>239</v>
      </c>
      <c r="G40" s="12">
        <v>5335</v>
      </c>
      <c r="H40" s="12">
        <v>912</v>
      </c>
      <c r="I40" s="12">
        <v>1271</v>
      </c>
      <c r="J40" s="12">
        <v>1967</v>
      </c>
      <c r="K40" s="12">
        <v>1184</v>
      </c>
      <c r="M40" s="170"/>
      <c r="N40" s="170"/>
      <c r="O40" s="170"/>
      <c r="P40" s="170"/>
      <c r="Q40" s="170"/>
    </row>
    <row r="41" spans="1:17" ht="12.75" customHeight="1" x14ac:dyDescent="0.2">
      <c r="A41" s="169">
        <v>2002</v>
      </c>
      <c r="B41" s="170">
        <v>973</v>
      </c>
      <c r="C41" s="170">
        <v>65</v>
      </c>
      <c r="D41" s="170">
        <v>185</v>
      </c>
      <c r="E41" s="170">
        <v>450</v>
      </c>
      <c r="F41" s="170">
        <v>273</v>
      </c>
      <c r="G41" s="12">
        <v>5632</v>
      </c>
      <c r="H41" s="12">
        <v>952</v>
      </c>
      <c r="I41" s="12">
        <v>1346</v>
      </c>
      <c r="J41" s="12">
        <v>2064</v>
      </c>
      <c r="K41" s="12">
        <v>1269</v>
      </c>
      <c r="M41" s="170"/>
      <c r="N41" s="170"/>
      <c r="O41" s="170"/>
      <c r="P41" s="170"/>
      <c r="Q41" s="170"/>
    </row>
    <row r="42" spans="1:17" ht="12.75" customHeight="1" x14ac:dyDescent="0.2">
      <c r="A42" s="169">
        <v>2003</v>
      </c>
      <c r="B42" s="170">
        <v>1086</v>
      </c>
      <c r="C42" s="170">
        <v>79</v>
      </c>
      <c r="D42" s="170">
        <v>189</v>
      </c>
      <c r="E42" s="170">
        <v>511</v>
      </c>
      <c r="F42" s="170">
        <v>307</v>
      </c>
      <c r="G42" s="12">
        <v>6175</v>
      </c>
      <c r="H42" s="12">
        <v>1019</v>
      </c>
      <c r="I42" s="12">
        <v>1468</v>
      </c>
      <c r="J42" s="12">
        <v>2283</v>
      </c>
      <c r="K42" s="12">
        <v>1405</v>
      </c>
      <c r="M42" s="170"/>
      <c r="N42" s="170"/>
      <c r="O42" s="170"/>
      <c r="P42" s="170"/>
      <c r="Q42" s="170"/>
    </row>
    <row r="43" spans="1:17" ht="12.75" customHeight="1" x14ac:dyDescent="0.2">
      <c r="A43" s="169">
        <v>2004</v>
      </c>
      <c r="B43" s="170">
        <v>1203</v>
      </c>
      <c r="C43" s="170">
        <v>83</v>
      </c>
      <c r="D43" s="170">
        <v>210</v>
      </c>
      <c r="E43" s="170">
        <v>562</v>
      </c>
      <c r="F43" s="170">
        <v>348</v>
      </c>
      <c r="G43" s="12">
        <v>6778</v>
      </c>
      <c r="H43" s="12">
        <v>1113</v>
      </c>
      <c r="I43" s="12">
        <v>1550</v>
      </c>
      <c r="J43" s="12">
        <v>2540</v>
      </c>
      <c r="K43" s="12">
        <v>1575</v>
      </c>
      <c r="M43" s="170"/>
      <c r="N43" s="170"/>
      <c r="O43" s="170"/>
      <c r="P43" s="170"/>
      <c r="Q43" s="170"/>
    </row>
    <row r="44" spans="1:17" ht="12.75" customHeight="1" x14ac:dyDescent="0.2">
      <c r="A44" s="169">
        <v>2005</v>
      </c>
      <c r="B44" s="170">
        <v>1283</v>
      </c>
      <c r="C44" s="170">
        <v>81</v>
      </c>
      <c r="D44" s="170">
        <v>205</v>
      </c>
      <c r="E44" s="170">
        <v>638</v>
      </c>
      <c r="F44" s="170">
        <v>358</v>
      </c>
      <c r="G44" s="12">
        <v>7076</v>
      </c>
      <c r="H44" s="12">
        <v>1169</v>
      </c>
      <c r="I44" s="12">
        <v>1588</v>
      </c>
      <c r="J44" s="12">
        <v>2702</v>
      </c>
      <c r="K44" s="12">
        <v>1617</v>
      </c>
      <c r="M44" s="170"/>
      <c r="N44" s="170"/>
      <c r="O44" s="170"/>
      <c r="P44" s="170"/>
      <c r="Q44" s="170"/>
    </row>
    <row r="45" spans="1:17" ht="12.75" customHeight="1" x14ac:dyDescent="0.2">
      <c r="A45" s="169">
        <v>2006</v>
      </c>
      <c r="B45" s="170">
        <v>1051</v>
      </c>
      <c r="C45" s="170">
        <v>63</v>
      </c>
      <c r="D45" s="170">
        <v>161</v>
      </c>
      <c r="E45" s="170">
        <v>559</v>
      </c>
      <c r="F45" s="170">
        <v>267</v>
      </c>
      <c r="G45" s="12">
        <v>6478</v>
      </c>
      <c r="H45" s="12">
        <v>1086</v>
      </c>
      <c r="I45" s="12">
        <v>1483</v>
      </c>
      <c r="J45" s="12">
        <v>2563</v>
      </c>
      <c r="K45" s="12">
        <v>1346</v>
      </c>
      <c r="M45" s="170"/>
      <c r="N45" s="170"/>
      <c r="O45" s="170"/>
      <c r="P45" s="170"/>
      <c r="Q45" s="170"/>
    </row>
    <row r="46" spans="1:17" ht="12.75" customHeight="1" x14ac:dyDescent="0.2">
      <c r="A46" s="169">
        <v>2007</v>
      </c>
      <c r="B46" s="170">
        <v>776</v>
      </c>
      <c r="C46" s="170">
        <v>65</v>
      </c>
      <c r="D46" s="170">
        <v>118</v>
      </c>
      <c r="E46" s="170">
        <v>411</v>
      </c>
      <c r="F46" s="170">
        <v>181</v>
      </c>
      <c r="G46" s="12">
        <v>5040</v>
      </c>
      <c r="H46" s="12">
        <v>720</v>
      </c>
      <c r="I46" s="12">
        <v>1190</v>
      </c>
      <c r="J46" s="12">
        <v>2070</v>
      </c>
      <c r="K46" s="12">
        <v>1070</v>
      </c>
      <c r="M46" s="170"/>
      <c r="N46" s="170"/>
      <c r="O46" s="170"/>
      <c r="P46" s="170"/>
      <c r="Q46" s="170"/>
    </row>
    <row r="47" spans="1:17" ht="12.75" customHeight="1" x14ac:dyDescent="0.2">
      <c r="A47" s="169">
        <v>2008</v>
      </c>
      <c r="B47" s="170">
        <v>485</v>
      </c>
      <c r="C47" s="170">
        <v>35</v>
      </c>
      <c r="D47" s="170">
        <v>70</v>
      </c>
      <c r="E47" s="170">
        <v>266</v>
      </c>
      <c r="F47" s="170">
        <v>114</v>
      </c>
      <c r="G47" s="12">
        <v>4110</v>
      </c>
      <c r="H47" s="12">
        <v>570</v>
      </c>
      <c r="I47" s="12">
        <v>950</v>
      </c>
      <c r="J47" s="12">
        <v>1590</v>
      </c>
      <c r="K47" s="12">
        <v>990</v>
      </c>
      <c r="M47" s="170"/>
      <c r="N47" s="170"/>
      <c r="O47" s="170"/>
      <c r="P47" s="170"/>
      <c r="Q47" s="170"/>
    </row>
    <row r="48" spans="1:17" ht="12.75" customHeight="1" x14ac:dyDescent="0.2">
      <c r="A48" s="169">
        <v>2009</v>
      </c>
      <c r="B48" s="170">
        <v>375</v>
      </c>
      <c r="C48" s="170">
        <v>31</v>
      </c>
      <c r="D48" s="170">
        <v>54</v>
      </c>
      <c r="E48" s="170">
        <v>202</v>
      </c>
      <c r="F48" s="170">
        <v>87</v>
      </c>
      <c r="G48" s="12">
        <v>4340</v>
      </c>
      <c r="H48" s="12">
        <v>590</v>
      </c>
      <c r="I48" s="12">
        <v>980</v>
      </c>
      <c r="J48" s="12">
        <v>1630</v>
      </c>
      <c r="K48" s="12">
        <v>1140</v>
      </c>
      <c r="M48" s="170"/>
      <c r="N48" s="170"/>
      <c r="O48" s="170"/>
      <c r="P48" s="170"/>
      <c r="Q48" s="170"/>
    </row>
    <row r="49" spans="1:18" ht="12.75" customHeight="1" x14ac:dyDescent="0.2">
      <c r="A49" s="169">
        <v>2010</v>
      </c>
      <c r="B49" s="170">
        <v>323</v>
      </c>
      <c r="C49" s="170">
        <v>31</v>
      </c>
      <c r="D49" s="170">
        <v>45</v>
      </c>
      <c r="E49" s="170">
        <v>173</v>
      </c>
      <c r="F49" s="170">
        <v>74</v>
      </c>
      <c r="G49" s="12">
        <v>4190</v>
      </c>
      <c r="H49" s="12">
        <v>570</v>
      </c>
      <c r="I49" s="12">
        <v>910</v>
      </c>
      <c r="J49" s="12">
        <v>1630</v>
      </c>
      <c r="K49" s="12">
        <v>1080</v>
      </c>
      <c r="M49" s="170"/>
      <c r="N49" s="170"/>
      <c r="O49" s="170"/>
      <c r="P49" s="170"/>
      <c r="Q49" s="170"/>
    </row>
    <row r="50" spans="1:18" ht="12.75" customHeight="1" x14ac:dyDescent="0.2">
      <c r="A50" s="169">
        <v>2011</v>
      </c>
      <c r="B50" s="170">
        <v>306</v>
      </c>
      <c r="C50" s="170">
        <v>21</v>
      </c>
      <c r="D50" s="170">
        <v>45</v>
      </c>
      <c r="E50" s="170">
        <v>168</v>
      </c>
      <c r="F50" s="170">
        <v>72</v>
      </c>
      <c r="G50" s="12">
        <v>4260</v>
      </c>
      <c r="H50" s="12">
        <v>540</v>
      </c>
      <c r="I50" s="12">
        <v>910</v>
      </c>
      <c r="J50" s="12">
        <v>1680</v>
      </c>
      <c r="K50" s="12">
        <v>1130</v>
      </c>
      <c r="M50" s="170"/>
      <c r="N50" s="170"/>
      <c r="O50" s="170"/>
      <c r="P50" s="170"/>
      <c r="Q50" s="170"/>
    </row>
    <row r="51" spans="1:18" ht="12.75" customHeight="1" x14ac:dyDescent="0.2">
      <c r="A51" s="12">
        <v>2012</v>
      </c>
      <c r="B51" s="170">
        <v>368</v>
      </c>
      <c r="C51" s="170">
        <v>29</v>
      </c>
      <c r="D51" s="170">
        <v>47</v>
      </c>
      <c r="E51" s="170">
        <v>195</v>
      </c>
      <c r="F51" s="170">
        <v>97</v>
      </c>
      <c r="G51" s="12">
        <v>4660</v>
      </c>
      <c r="H51" s="12">
        <v>590</v>
      </c>
      <c r="I51" s="12">
        <v>1070</v>
      </c>
      <c r="J51" s="12">
        <v>1840</v>
      </c>
      <c r="K51" s="12">
        <v>1160</v>
      </c>
      <c r="M51" s="170"/>
      <c r="N51" s="170"/>
      <c r="O51" s="170"/>
      <c r="P51" s="170"/>
      <c r="Q51" s="170"/>
    </row>
    <row r="52" spans="1:18" x14ac:dyDescent="0.2">
      <c r="A52" s="12">
        <v>2013</v>
      </c>
      <c r="B52" s="170">
        <v>429</v>
      </c>
      <c r="C52" s="170">
        <v>31</v>
      </c>
      <c r="D52" s="170">
        <v>61</v>
      </c>
      <c r="E52" s="170">
        <v>233</v>
      </c>
      <c r="F52" s="170">
        <v>105</v>
      </c>
      <c r="G52" s="12">
        <v>5090</v>
      </c>
      <c r="H52" s="12">
        <v>660</v>
      </c>
      <c r="I52" s="12">
        <v>1200</v>
      </c>
      <c r="J52" s="12">
        <v>2050</v>
      </c>
      <c r="K52" s="12">
        <v>1190</v>
      </c>
      <c r="M52" s="170"/>
      <c r="N52" s="170"/>
      <c r="O52" s="170"/>
      <c r="P52" s="170"/>
      <c r="Q52" s="170"/>
      <c r="R52" s="170"/>
    </row>
    <row r="53" spans="1:18" x14ac:dyDescent="0.2">
      <c r="A53" s="12">
        <v>2014</v>
      </c>
      <c r="B53" s="170">
        <v>437</v>
      </c>
      <c r="C53" s="170">
        <v>28</v>
      </c>
      <c r="D53" s="170">
        <v>59</v>
      </c>
      <c r="E53" s="170">
        <v>243</v>
      </c>
      <c r="F53" s="170">
        <v>108</v>
      </c>
      <c r="G53" s="12">
        <v>4940</v>
      </c>
      <c r="H53" s="12">
        <v>640</v>
      </c>
      <c r="I53" s="12">
        <v>1140</v>
      </c>
      <c r="J53" s="12">
        <v>2050</v>
      </c>
      <c r="K53" s="12">
        <v>1100</v>
      </c>
      <c r="M53" s="170"/>
      <c r="N53" s="170"/>
      <c r="O53" s="170"/>
      <c r="P53" s="170"/>
      <c r="Q53" s="170"/>
      <c r="R53" s="170"/>
    </row>
    <row r="54" spans="1:18" x14ac:dyDescent="0.2">
      <c r="A54" s="12">
        <v>2015</v>
      </c>
      <c r="B54" s="170">
        <v>501</v>
      </c>
      <c r="C54" s="170">
        <v>24</v>
      </c>
      <c r="D54" s="170">
        <v>61</v>
      </c>
      <c r="E54" s="170">
        <v>286</v>
      </c>
      <c r="F54" s="170">
        <v>130</v>
      </c>
      <c r="G54" s="12">
        <v>5250</v>
      </c>
      <c r="H54" s="12">
        <v>700</v>
      </c>
      <c r="I54" s="12">
        <v>1240</v>
      </c>
      <c r="J54" s="12">
        <v>2160</v>
      </c>
      <c r="K54" s="12">
        <v>1170</v>
      </c>
      <c r="M54" s="170"/>
      <c r="N54" s="170"/>
      <c r="O54" s="170"/>
      <c r="P54" s="170"/>
      <c r="Q54" s="170"/>
    </row>
    <row r="55" spans="1:18" x14ac:dyDescent="0.2">
      <c r="A55" s="12">
        <v>2016</v>
      </c>
      <c r="B55" s="170">
        <v>561</v>
      </c>
      <c r="C55" s="170">
        <v>32</v>
      </c>
      <c r="D55" s="170">
        <v>69</v>
      </c>
      <c r="E55" s="170">
        <v>318</v>
      </c>
      <c r="F55" s="170">
        <v>142</v>
      </c>
      <c r="G55" s="12">
        <v>5450</v>
      </c>
      <c r="H55" s="12">
        <v>740</v>
      </c>
      <c r="I55" s="12">
        <v>1300</v>
      </c>
      <c r="J55" s="12">
        <v>2220</v>
      </c>
      <c r="K55" s="12">
        <v>1190</v>
      </c>
      <c r="M55" s="170"/>
      <c r="N55" s="170"/>
      <c r="O55" s="170"/>
      <c r="P55" s="170"/>
      <c r="Q55" s="170"/>
    </row>
    <row r="56" spans="1:18" x14ac:dyDescent="0.2">
      <c r="A56" s="12">
        <v>2017</v>
      </c>
      <c r="B56" s="170">
        <v>613</v>
      </c>
      <c r="C56" s="170">
        <v>40</v>
      </c>
      <c r="D56" s="170">
        <v>72</v>
      </c>
      <c r="E56" s="170">
        <v>339</v>
      </c>
      <c r="F56" s="170">
        <v>163</v>
      </c>
      <c r="G56" s="12">
        <v>5510</v>
      </c>
      <c r="H56" s="12">
        <v>740</v>
      </c>
      <c r="I56" s="12">
        <v>1300</v>
      </c>
      <c r="J56" s="12">
        <v>2260</v>
      </c>
      <c r="K56" s="12">
        <v>1220</v>
      </c>
      <c r="M56" s="170"/>
      <c r="N56" s="170"/>
      <c r="O56" s="170"/>
      <c r="P56" s="170"/>
      <c r="Q56" s="170"/>
    </row>
    <row r="57" spans="1:18" x14ac:dyDescent="0.2">
      <c r="A57" s="12">
        <v>2018</v>
      </c>
      <c r="B57" s="170">
        <v>617</v>
      </c>
      <c r="C57" s="170">
        <v>32</v>
      </c>
      <c r="D57" s="170">
        <v>76</v>
      </c>
      <c r="E57" s="170">
        <v>348</v>
      </c>
      <c r="F57" s="170">
        <v>160</v>
      </c>
      <c r="G57" s="12">
        <v>5340</v>
      </c>
      <c r="H57" s="12">
        <v>690</v>
      </c>
      <c r="I57" s="12">
        <v>1270</v>
      </c>
      <c r="J57" s="12">
        <v>2240</v>
      </c>
      <c r="K57" s="12">
        <v>1140</v>
      </c>
    </row>
    <row r="58" spans="1:18" x14ac:dyDescent="0.2">
      <c r="A58" s="12">
        <v>2019</v>
      </c>
      <c r="B58" s="170">
        <v>683</v>
      </c>
      <c r="C58" s="170">
        <v>30</v>
      </c>
      <c r="D58" s="170">
        <v>72</v>
      </c>
      <c r="E58" s="170">
        <v>399</v>
      </c>
      <c r="F58" s="170">
        <v>182</v>
      </c>
      <c r="G58" s="12">
        <v>5340</v>
      </c>
      <c r="H58" s="12">
        <v>690</v>
      </c>
      <c r="I58" s="12">
        <v>1250</v>
      </c>
      <c r="J58" s="12">
        <v>2290</v>
      </c>
      <c r="K58" s="12">
        <v>1120</v>
      </c>
    </row>
    <row r="59" spans="1:18" x14ac:dyDescent="0.2">
      <c r="A59" s="12">
        <v>2020</v>
      </c>
      <c r="B59" s="170">
        <v>822</v>
      </c>
      <c r="C59" s="170">
        <v>37</v>
      </c>
      <c r="D59" s="170">
        <v>93</v>
      </c>
      <c r="E59" s="170">
        <v>474</v>
      </c>
      <c r="F59" s="170">
        <v>218</v>
      </c>
      <c r="G59" s="12">
        <v>5640</v>
      </c>
      <c r="H59" s="12">
        <v>700</v>
      </c>
      <c r="I59" s="12">
        <v>1330</v>
      </c>
      <c r="J59" s="12">
        <v>2460</v>
      </c>
      <c r="K59" s="12">
        <v>1150</v>
      </c>
    </row>
    <row r="60" spans="1:18" x14ac:dyDescent="0.2">
      <c r="A60" s="12">
        <v>2021</v>
      </c>
      <c r="B60" s="170">
        <v>771</v>
      </c>
      <c r="C60" s="170">
        <v>36</v>
      </c>
      <c r="D60" s="170">
        <v>86</v>
      </c>
      <c r="E60" s="170">
        <v>453</v>
      </c>
      <c r="F60" s="170">
        <v>196</v>
      </c>
      <c r="G60" s="12">
        <v>6120</v>
      </c>
      <c r="H60" s="12">
        <v>750</v>
      </c>
      <c r="I60" s="12">
        <v>1400</v>
      </c>
      <c r="J60" s="12">
        <v>2710</v>
      </c>
      <c r="K60" s="12">
        <v>1260</v>
      </c>
    </row>
    <row r="61" spans="1:18" x14ac:dyDescent="0.2">
      <c r="A61" s="169">
        <v>2022</v>
      </c>
      <c r="B61" s="12">
        <v>641</v>
      </c>
      <c r="C61" s="12">
        <v>33</v>
      </c>
      <c r="D61" s="12">
        <v>66</v>
      </c>
      <c r="E61" s="12">
        <v>392</v>
      </c>
      <c r="F61" s="12">
        <v>150</v>
      </c>
      <c r="G61" s="12">
        <v>5030</v>
      </c>
      <c r="H61" s="12">
        <v>620</v>
      </c>
      <c r="I61" s="12">
        <v>1190</v>
      </c>
      <c r="J61" s="12">
        <v>2250</v>
      </c>
      <c r="K61" s="12">
        <v>960</v>
      </c>
    </row>
    <row r="62" spans="1:18" x14ac:dyDescent="0.2">
      <c r="A62" s="12">
        <v>2023</v>
      </c>
      <c r="B62" s="12">
        <v>666</v>
      </c>
      <c r="C62" s="12">
        <v>33</v>
      </c>
      <c r="D62" s="12">
        <v>68</v>
      </c>
      <c r="E62" s="12">
        <v>412</v>
      </c>
      <c r="F62" s="12">
        <v>153</v>
      </c>
      <c r="G62" s="22">
        <v>4090</v>
      </c>
      <c r="H62" s="22">
        <v>490</v>
      </c>
      <c r="I62" s="22">
        <v>980</v>
      </c>
      <c r="J62" s="22">
        <v>1880</v>
      </c>
      <c r="K62" s="22">
        <v>740</v>
      </c>
    </row>
    <row r="63" spans="1:18" x14ac:dyDescent="0.2">
      <c r="A63" s="12">
        <v>2024</v>
      </c>
      <c r="B63" s="12">
        <v>686</v>
      </c>
      <c r="C63" s="12">
        <v>34</v>
      </c>
      <c r="D63" s="12">
        <v>80</v>
      </c>
      <c r="E63" s="12">
        <v>413</v>
      </c>
      <c r="F63" s="12">
        <v>158</v>
      </c>
      <c r="G63" s="22">
        <v>4060</v>
      </c>
      <c r="H63" s="22">
        <v>490</v>
      </c>
      <c r="I63" s="22">
        <v>960</v>
      </c>
      <c r="J63" s="22">
        <v>1850</v>
      </c>
      <c r="K63" s="22">
        <v>760</v>
      </c>
    </row>
    <row r="64" spans="1:18" x14ac:dyDescent="0.2">
      <c r="A64" s="12">
        <v>2025</v>
      </c>
      <c r="B64" s="12">
        <v>679</v>
      </c>
      <c r="C64" s="12">
        <v>32</v>
      </c>
      <c r="D64" s="12">
        <v>82</v>
      </c>
      <c r="E64" s="12">
        <v>415</v>
      </c>
      <c r="F64" s="12">
        <v>151</v>
      </c>
      <c r="G64" s="12">
        <v>4060</v>
      </c>
      <c r="H64" s="12">
        <v>490</v>
      </c>
      <c r="I64" s="12">
        <v>970</v>
      </c>
      <c r="J64" s="12">
        <v>1860</v>
      </c>
      <c r="K64" s="12">
        <v>750</v>
      </c>
    </row>
    <row r="66" spans="7:7" x14ac:dyDescent="0.2">
      <c r="G66" s="171"/>
    </row>
    <row r="67" spans="7:7" x14ac:dyDescent="0.2">
      <c r="G67" s="17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46"/>
  <sheetViews>
    <sheetView zoomScale="120" zoomScaleNormal="120" workbookViewId="0">
      <pane ySplit="1" topLeftCell="A246" activePane="bottomLeft" state="frozen"/>
      <selection activeCell="B746" sqref="B746:F746"/>
      <selection pane="bottomLeft" activeCell="H253" sqref="H253"/>
    </sheetView>
  </sheetViews>
  <sheetFormatPr defaultRowHeight="15" x14ac:dyDescent="0.25"/>
  <cols>
    <col min="3" max="3" width="10.5703125" customWidth="1"/>
    <col min="4" max="4" width="11.5703125" customWidth="1"/>
  </cols>
  <sheetData>
    <row r="1" spans="1:6" x14ac:dyDescent="0.25">
      <c r="A1" t="s">
        <v>16</v>
      </c>
      <c r="B1" s="15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155</v>
      </c>
      <c r="B2">
        <v>17800</v>
      </c>
      <c r="C2">
        <v>20800</v>
      </c>
      <c r="D2">
        <v>17500</v>
      </c>
      <c r="E2">
        <v>16800</v>
      </c>
      <c r="F2">
        <v>18000</v>
      </c>
    </row>
    <row r="3" spans="1:6" x14ac:dyDescent="0.25">
      <c r="A3" t="s">
        <v>156</v>
      </c>
      <c r="B3">
        <v>18000</v>
      </c>
      <c r="C3">
        <v>20600</v>
      </c>
      <c r="D3">
        <v>17700</v>
      </c>
      <c r="E3">
        <v>15800</v>
      </c>
      <c r="F3">
        <v>18900</v>
      </c>
    </row>
    <row r="4" spans="1:6" x14ac:dyDescent="0.25">
      <c r="A4" t="s">
        <v>157</v>
      </c>
      <c r="B4">
        <v>17900</v>
      </c>
      <c r="C4">
        <v>19600</v>
      </c>
      <c r="D4">
        <v>17800</v>
      </c>
      <c r="E4">
        <v>15900</v>
      </c>
      <c r="F4">
        <v>19000</v>
      </c>
    </row>
    <row r="5" spans="1:6" x14ac:dyDescent="0.25">
      <c r="A5" t="s">
        <v>158</v>
      </c>
      <c r="B5">
        <v>18500</v>
      </c>
      <c r="C5">
        <v>20600</v>
      </c>
      <c r="D5">
        <v>19100</v>
      </c>
      <c r="E5">
        <v>15800</v>
      </c>
      <c r="F5">
        <v>19500</v>
      </c>
    </row>
    <row r="6" spans="1:6" x14ac:dyDescent="0.25">
      <c r="A6" t="s">
        <v>159</v>
      </c>
      <c r="B6">
        <v>18500</v>
      </c>
      <c r="C6">
        <v>20300</v>
      </c>
      <c r="D6">
        <v>18700</v>
      </c>
      <c r="E6">
        <v>16500</v>
      </c>
      <c r="F6">
        <v>19600</v>
      </c>
    </row>
    <row r="7" spans="1:6" x14ac:dyDescent="0.25">
      <c r="A7" t="s">
        <v>160</v>
      </c>
      <c r="B7">
        <v>18900</v>
      </c>
      <c r="C7">
        <v>19800</v>
      </c>
      <c r="D7">
        <v>19800</v>
      </c>
      <c r="E7">
        <v>16800</v>
      </c>
      <c r="F7">
        <v>20100</v>
      </c>
    </row>
    <row r="8" spans="1:6" x14ac:dyDescent="0.25">
      <c r="A8" t="s">
        <v>161</v>
      </c>
      <c r="B8">
        <v>18900</v>
      </c>
      <c r="C8">
        <v>20200</v>
      </c>
      <c r="D8">
        <v>18900</v>
      </c>
      <c r="E8">
        <v>16800</v>
      </c>
      <c r="F8">
        <v>20600</v>
      </c>
    </row>
    <row r="9" spans="1:6" x14ac:dyDescent="0.25">
      <c r="A9" t="s">
        <v>162</v>
      </c>
      <c r="B9">
        <v>19400</v>
      </c>
      <c r="C9">
        <v>21400</v>
      </c>
      <c r="D9">
        <v>20800</v>
      </c>
      <c r="E9">
        <v>16700</v>
      </c>
      <c r="F9">
        <v>21500</v>
      </c>
    </row>
    <row r="10" spans="1:6" x14ac:dyDescent="0.25">
      <c r="A10" t="s">
        <v>163</v>
      </c>
      <c r="B10">
        <v>20200</v>
      </c>
      <c r="C10">
        <v>21000</v>
      </c>
      <c r="D10">
        <v>21900</v>
      </c>
      <c r="E10">
        <v>17400</v>
      </c>
      <c r="F10">
        <v>21600</v>
      </c>
    </row>
    <row r="11" spans="1:6" x14ac:dyDescent="0.25">
      <c r="A11" t="s">
        <v>164</v>
      </c>
      <c r="B11">
        <v>19800</v>
      </c>
      <c r="C11">
        <v>21900</v>
      </c>
      <c r="D11">
        <v>20800</v>
      </c>
      <c r="E11">
        <v>16400</v>
      </c>
      <c r="F11">
        <v>22100</v>
      </c>
    </row>
    <row r="12" spans="1:6" x14ac:dyDescent="0.25">
      <c r="A12" t="s">
        <v>165</v>
      </c>
      <c r="B12">
        <v>20200</v>
      </c>
      <c r="C12">
        <v>21200</v>
      </c>
      <c r="D12">
        <v>22100</v>
      </c>
      <c r="E12">
        <v>17700</v>
      </c>
      <c r="F12">
        <v>21500</v>
      </c>
    </row>
    <row r="13" spans="1:6" x14ac:dyDescent="0.25">
      <c r="A13" t="s">
        <v>166</v>
      </c>
      <c r="B13">
        <v>20300</v>
      </c>
      <c r="C13">
        <v>23100</v>
      </c>
      <c r="D13">
        <v>21100</v>
      </c>
      <c r="E13">
        <v>18100</v>
      </c>
      <c r="F13">
        <v>22400</v>
      </c>
    </row>
    <row r="14" spans="1:6" x14ac:dyDescent="0.25">
      <c r="A14" t="s">
        <v>167</v>
      </c>
      <c r="B14">
        <v>21000</v>
      </c>
      <c r="C14">
        <v>23700</v>
      </c>
      <c r="D14">
        <v>22500</v>
      </c>
      <c r="E14">
        <v>17800</v>
      </c>
      <c r="F14">
        <v>23300</v>
      </c>
    </row>
    <row r="15" spans="1:6" x14ac:dyDescent="0.25">
      <c r="A15" t="s">
        <v>168</v>
      </c>
      <c r="B15">
        <v>22100</v>
      </c>
      <c r="C15">
        <v>23700</v>
      </c>
      <c r="D15">
        <v>23300</v>
      </c>
      <c r="E15">
        <v>18800</v>
      </c>
      <c r="F15">
        <v>23800</v>
      </c>
    </row>
    <row r="16" spans="1:6" x14ac:dyDescent="0.25">
      <c r="A16" t="s">
        <v>169</v>
      </c>
      <c r="B16">
        <v>21500</v>
      </c>
      <c r="C16">
        <v>23700</v>
      </c>
      <c r="D16">
        <v>24100</v>
      </c>
      <c r="E16">
        <v>18200</v>
      </c>
      <c r="F16">
        <v>22500</v>
      </c>
    </row>
    <row r="17" spans="1:6" x14ac:dyDescent="0.25">
      <c r="A17" t="s">
        <v>170</v>
      </c>
      <c r="B17">
        <v>21400</v>
      </c>
      <c r="C17">
        <v>23400</v>
      </c>
      <c r="D17">
        <v>23700</v>
      </c>
      <c r="E17">
        <v>18900</v>
      </c>
      <c r="F17">
        <v>22800</v>
      </c>
    </row>
    <row r="18" spans="1:6" x14ac:dyDescent="0.25">
      <c r="A18" t="s">
        <v>171</v>
      </c>
      <c r="B18">
        <v>22300</v>
      </c>
      <c r="C18">
        <v>23800</v>
      </c>
      <c r="D18">
        <v>23000</v>
      </c>
      <c r="E18">
        <v>18900</v>
      </c>
      <c r="F18">
        <v>24700</v>
      </c>
    </row>
    <row r="19" spans="1:6" x14ac:dyDescent="0.25">
      <c r="A19" t="s">
        <v>172</v>
      </c>
      <c r="B19">
        <v>23300</v>
      </c>
      <c r="C19">
        <v>25400</v>
      </c>
      <c r="D19">
        <v>25900</v>
      </c>
      <c r="E19">
        <v>19400</v>
      </c>
      <c r="F19">
        <v>24700</v>
      </c>
    </row>
    <row r="20" spans="1:6" x14ac:dyDescent="0.25">
      <c r="A20" t="s">
        <v>173</v>
      </c>
      <c r="B20">
        <v>22500</v>
      </c>
      <c r="C20">
        <v>25600</v>
      </c>
      <c r="D20">
        <v>24100</v>
      </c>
      <c r="E20">
        <v>19400</v>
      </c>
      <c r="F20">
        <v>23600</v>
      </c>
    </row>
    <row r="21" spans="1:6" x14ac:dyDescent="0.25">
      <c r="A21" t="s">
        <v>174</v>
      </c>
      <c r="B21">
        <v>22900</v>
      </c>
      <c r="C21">
        <v>27500</v>
      </c>
      <c r="D21">
        <v>26900</v>
      </c>
      <c r="E21">
        <v>19600</v>
      </c>
      <c r="F21">
        <v>23300</v>
      </c>
    </row>
    <row r="22" spans="1:6" x14ac:dyDescent="0.25">
      <c r="A22" t="s">
        <v>175</v>
      </c>
      <c r="B22">
        <v>23900</v>
      </c>
      <c r="C22">
        <v>26600</v>
      </c>
      <c r="D22">
        <v>26900</v>
      </c>
      <c r="E22">
        <v>19800</v>
      </c>
      <c r="F22">
        <v>24700</v>
      </c>
    </row>
    <row r="23" spans="1:6" x14ac:dyDescent="0.25">
      <c r="A23" t="s">
        <v>176</v>
      </c>
      <c r="B23">
        <v>24900</v>
      </c>
      <c r="C23">
        <v>26900</v>
      </c>
      <c r="D23">
        <v>28200</v>
      </c>
      <c r="E23">
        <v>22000</v>
      </c>
      <c r="F23">
        <v>25500</v>
      </c>
    </row>
    <row r="24" spans="1:6" x14ac:dyDescent="0.25">
      <c r="A24" t="s">
        <v>177</v>
      </c>
      <c r="B24">
        <v>24800</v>
      </c>
      <c r="C24">
        <v>27800</v>
      </c>
      <c r="D24">
        <v>26800</v>
      </c>
      <c r="E24">
        <v>21700</v>
      </c>
      <c r="F24">
        <v>25500</v>
      </c>
    </row>
    <row r="25" spans="1:6" x14ac:dyDescent="0.25">
      <c r="A25" t="s">
        <v>178</v>
      </c>
      <c r="B25">
        <v>25600</v>
      </c>
      <c r="C25">
        <v>29900</v>
      </c>
      <c r="D25">
        <v>27700</v>
      </c>
      <c r="E25">
        <v>22400</v>
      </c>
      <c r="F25">
        <v>24800</v>
      </c>
    </row>
    <row r="26" spans="1:6" x14ac:dyDescent="0.25">
      <c r="A26" t="s">
        <v>179</v>
      </c>
      <c r="B26">
        <v>25700</v>
      </c>
      <c r="C26">
        <v>31500</v>
      </c>
      <c r="D26">
        <v>27300</v>
      </c>
      <c r="E26">
        <v>23100</v>
      </c>
      <c r="F26">
        <v>24800</v>
      </c>
    </row>
    <row r="27" spans="1:6" x14ac:dyDescent="0.25">
      <c r="A27" t="s">
        <v>180</v>
      </c>
      <c r="B27">
        <v>25900</v>
      </c>
      <c r="C27">
        <v>32100</v>
      </c>
      <c r="D27">
        <v>28700</v>
      </c>
      <c r="E27">
        <v>23300</v>
      </c>
      <c r="F27">
        <v>25600</v>
      </c>
    </row>
    <row r="28" spans="1:6" x14ac:dyDescent="0.25">
      <c r="A28" t="s">
        <v>181</v>
      </c>
      <c r="B28">
        <v>25900</v>
      </c>
      <c r="C28">
        <v>31300</v>
      </c>
      <c r="D28">
        <v>28700</v>
      </c>
      <c r="E28">
        <v>23000</v>
      </c>
      <c r="F28">
        <v>25400</v>
      </c>
    </row>
    <row r="29" spans="1:6" x14ac:dyDescent="0.25">
      <c r="A29" t="s">
        <v>182</v>
      </c>
      <c r="B29">
        <v>24900</v>
      </c>
      <c r="C29">
        <v>30500</v>
      </c>
      <c r="D29">
        <v>26400</v>
      </c>
      <c r="E29">
        <v>21100</v>
      </c>
      <c r="F29">
        <v>25500</v>
      </c>
    </row>
    <row r="30" spans="1:6" x14ac:dyDescent="0.25">
      <c r="A30" t="s">
        <v>183</v>
      </c>
      <c r="B30">
        <v>23900</v>
      </c>
      <c r="C30">
        <v>32000</v>
      </c>
      <c r="D30">
        <v>28500</v>
      </c>
      <c r="E30">
        <v>20000</v>
      </c>
      <c r="F30">
        <v>23800</v>
      </c>
    </row>
    <row r="31" spans="1:6" x14ac:dyDescent="0.25">
      <c r="A31" t="s">
        <v>184</v>
      </c>
      <c r="B31">
        <v>24400</v>
      </c>
      <c r="C31">
        <v>33100</v>
      </c>
      <c r="D31">
        <v>25000</v>
      </c>
      <c r="E31">
        <v>21100</v>
      </c>
      <c r="F31">
        <v>24700</v>
      </c>
    </row>
    <row r="32" spans="1:6" x14ac:dyDescent="0.25">
      <c r="A32" t="s">
        <v>185</v>
      </c>
      <c r="B32">
        <v>23000</v>
      </c>
      <c r="C32">
        <v>26800</v>
      </c>
      <c r="D32">
        <v>23800</v>
      </c>
      <c r="E32">
        <v>20400</v>
      </c>
      <c r="F32">
        <v>24200</v>
      </c>
    </row>
    <row r="33" spans="1:6" x14ac:dyDescent="0.25">
      <c r="A33" t="s">
        <v>186</v>
      </c>
      <c r="B33">
        <v>22600</v>
      </c>
      <c r="C33">
        <v>29200</v>
      </c>
      <c r="D33">
        <v>22700</v>
      </c>
      <c r="E33">
        <v>20000</v>
      </c>
      <c r="F33">
        <v>23600</v>
      </c>
    </row>
    <row r="34" spans="1:6" x14ac:dyDescent="0.25">
      <c r="A34" t="s">
        <v>187</v>
      </c>
      <c r="B34">
        <v>24300</v>
      </c>
      <c r="C34">
        <v>31000</v>
      </c>
      <c r="D34">
        <v>27100</v>
      </c>
      <c r="E34">
        <v>21300</v>
      </c>
      <c r="F34">
        <v>24700</v>
      </c>
    </row>
    <row r="35" spans="1:6" x14ac:dyDescent="0.25">
      <c r="A35" t="s">
        <v>188</v>
      </c>
      <c r="B35">
        <v>25800</v>
      </c>
      <c r="C35">
        <v>30500</v>
      </c>
      <c r="D35">
        <v>27800</v>
      </c>
      <c r="E35">
        <v>22700</v>
      </c>
      <c r="F35">
        <v>26200</v>
      </c>
    </row>
    <row r="36" spans="1:6" x14ac:dyDescent="0.25">
      <c r="A36" t="s">
        <v>189</v>
      </c>
      <c r="B36">
        <v>25300</v>
      </c>
      <c r="C36">
        <v>30900</v>
      </c>
      <c r="D36">
        <v>27600</v>
      </c>
      <c r="E36">
        <v>22900</v>
      </c>
      <c r="F36">
        <v>25300</v>
      </c>
    </row>
    <row r="37" spans="1:6" x14ac:dyDescent="0.25">
      <c r="A37" t="s">
        <v>190</v>
      </c>
      <c r="B37">
        <v>25500</v>
      </c>
      <c r="C37">
        <v>31300</v>
      </c>
      <c r="D37">
        <v>26200</v>
      </c>
      <c r="E37">
        <v>23200</v>
      </c>
      <c r="F37">
        <v>25600</v>
      </c>
    </row>
    <row r="38" spans="1:6" x14ac:dyDescent="0.25">
      <c r="A38" t="s">
        <v>191</v>
      </c>
      <c r="B38">
        <v>26200</v>
      </c>
      <c r="C38">
        <v>31900</v>
      </c>
      <c r="D38">
        <v>28300</v>
      </c>
      <c r="E38">
        <v>23900</v>
      </c>
      <c r="F38">
        <v>26200</v>
      </c>
    </row>
    <row r="39" spans="1:6" x14ac:dyDescent="0.25">
      <c r="A39" t="s">
        <v>192</v>
      </c>
      <c r="B39">
        <v>26800</v>
      </c>
      <c r="C39">
        <v>31100</v>
      </c>
      <c r="D39">
        <v>28400</v>
      </c>
      <c r="E39">
        <v>25200</v>
      </c>
      <c r="F39">
        <v>26300</v>
      </c>
    </row>
    <row r="40" spans="1:6" x14ac:dyDescent="0.25">
      <c r="A40" t="s">
        <v>193</v>
      </c>
      <c r="B40">
        <v>27900</v>
      </c>
      <c r="C40">
        <v>29400</v>
      </c>
      <c r="D40">
        <v>30200</v>
      </c>
      <c r="E40">
        <v>26600</v>
      </c>
      <c r="F40">
        <v>28300</v>
      </c>
    </row>
    <row r="41" spans="1:6" x14ac:dyDescent="0.25">
      <c r="A41" t="s">
        <v>194</v>
      </c>
      <c r="B41">
        <v>29200</v>
      </c>
      <c r="C41">
        <v>33800</v>
      </c>
      <c r="D41">
        <v>30800</v>
      </c>
      <c r="E41">
        <v>27500</v>
      </c>
      <c r="F41">
        <v>28800</v>
      </c>
    </row>
    <row r="42" spans="1:6" x14ac:dyDescent="0.25">
      <c r="A42" t="s">
        <v>195</v>
      </c>
      <c r="B42">
        <v>30200</v>
      </c>
      <c r="C42">
        <v>35100</v>
      </c>
      <c r="D42">
        <v>31500</v>
      </c>
      <c r="E42">
        <v>29100</v>
      </c>
      <c r="F42">
        <v>29600</v>
      </c>
    </row>
    <row r="43" spans="1:6" x14ac:dyDescent="0.25">
      <c r="A43" t="s">
        <v>196</v>
      </c>
      <c r="B43">
        <v>32700</v>
      </c>
      <c r="C43">
        <v>38400</v>
      </c>
      <c r="D43">
        <v>32200</v>
      </c>
      <c r="E43">
        <v>30900</v>
      </c>
      <c r="F43">
        <v>32800</v>
      </c>
    </row>
    <row r="44" spans="1:6" x14ac:dyDescent="0.25">
      <c r="A44" t="s">
        <v>197</v>
      </c>
      <c r="B44">
        <v>33500</v>
      </c>
      <c r="C44">
        <v>36900</v>
      </c>
      <c r="D44">
        <v>33500</v>
      </c>
      <c r="E44">
        <v>32200</v>
      </c>
      <c r="F44">
        <v>33600</v>
      </c>
    </row>
    <row r="45" spans="1:6" x14ac:dyDescent="0.25">
      <c r="A45" t="s">
        <v>198</v>
      </c>
      <c r="B45">
        <v>34000</v>
      </c>
      <c r="C45">
        <v>38600</v>
      </c>
      <c r="D45">
        <v>35000</v>
      </c>
      <c r="E45">
        <v>32100</v>
      </c>
      <c r="F45">
        <v>33900</v>
      </c>
    </row>
    <row r="46" spans="1:6" x14ac:dyDescent="0.25">
      <c r="A46" t="s">
        <v>199</v>
      </c>
      <c r="B46">
        <v>35200</v>
      </c>
      <c r="C46">
        <v>38600</v>
      </c>
      <c r="D46">
        <v>35200</v>
      </c>
      <c r="E46">
        <v>34800</v>
      </c>
      <c r="F46">
        <v>34400</v>
      </c>
    </row>
    <row r="47" spans="1:6" x14ac:dyDescent="0.25">
      <c r="A47" t="s">
        <v>200</v>
      </c>
      <c r="B47">
        <v>35600</v>
      </c>
      <c r="C47">
        <v>39500</v>
      </c>
      <c r="D47">
        <v>36000</v>
      </c>
      <c r="E47">
        <v>33600</v>
      </c>
      <c r="F47">
        <v>36100</v>
      </c>
    </row>
    <row r="48" spans="1:6" x14ac:dyDescent="0.25">
      <c r="A48" t="s">
        <v>201</v>
      </c>
      <c r="B48">
        <v>36200</v>
      </c>
      <c r="C48">
        <v>40700</v>
      </c>
      <c r="D48">
        <v>36200</v>
      </c>
      <c r="E48">
        <v>35100</v>
      </c>
      <c r="F48">
        <v>36000</v>
      </c>
    </row>
    <row r="49" spans="1:6" x14ac:dyDescent="0.25">
      <c r="A49" t="s">
        <v>202</v>
      </c>
      <c r="B49">
        <v>37200</v>
      </c>
      <c r="C49">
        <v>44000</v>
      </c>
      <c r="D49">
        <v>37500</v>
      </c>
      <c r="E49">
        <v>34900</v>
      </c>
      <c r="F49">
        <v>37200</v>
      </c>
    </row>
    <row r="50" spans="1:6" x14ac:dyDescent="0.25">
      <c r="A50" t="s">
        <v>203</v>
      </c>
      <c r="B50">
        <v>38100</v>
      </c>
      <c r="C50">
        <v>44000</v>
      </c>
      <c r="D50">
        <v>37400</v>
      </c>
      <c r="E50">
        <v>36700</v>
      </c>
      <c r="F50">
        <v>38500</v>
      </c>
    </row>
    <row r="51" spans="1:6" x14ac:dyDescent="0.25">
      <c r="A51" t="s">
        <v>204</v>
      </c>
      <c r="B51">
        <v>39000</v>
      </c>
      <c r="C51">
        <v>43400</v>
      </c>
      <c r="D51">
        <v>39700</v>
      </c>
      <c r="E51">
        <v>36800</v>
      </c>
      <c r="F51">
        <v>40400</v>
      </c>
    </row>
    <row r="52" spans="1:6" x14ac:dyDescent="0.25">
      <c r="A52" t="s">
        <v>205</v>
      </c>
      <c r="B52">
        <v>38800</v>
      </c>
      <c r="C52">
        <v>44400</v>
      </c>
      <c r="D52">
        <v>39300</v>
      </c>
      <c r="E52">
        <v>36500</v>
      </c>
      <c r="F52">
        <v>39800</v>
      </c>
    </row>
    <row r="53" spans="1:6" x14ac:dyDescent="0.25">
      <c r="A53" t="s">
        <v>206</v>
      </c>
      <c r="B53">
        <v>41200</v>
      </c>
      <c r="C53">
        <v>44400</v>
      </c>
      <c r="D53">
        <v>41900</v>
      </c>
      <c r="E53">
        <v>39000</v>
      </c>
      <c r="F53">
        <v>43400</v>
      </c>
    </row>
    <row r="54" spans="1:6" x14ac:dyDescent="0.25">
      <c r="A54" t="s">
        <v>207</v>
      </c>
      <c r="B54">
        <v>42800</v>
      </c>
      <c r="C54">
        <v>45700</v>
      </c>
      <c r="D54">
        <v>42500</v>
      </c>
      <c r="E54">
        <v>39800</v>
      </c>
      <c r="F54">
        <v>45100</v>
      </c>
    </row>
    <row r="55" spans="1:6" x14ac:dyDescent="0.25">
      <c r="A55" t="s">
        <v>208</v>
      </c>
      <c r="B55">
        <v>44200</v>
      </c>
      <c r="C55">
        <v>46300</v>
      </c>
      <c r="D55">
        <v>45800</v>
      </c>
      <c r="E55">
        <v>40400</v>
      </c>
      <c r="F55">
        <v>47400</v>
      </c>
    </row>
    <row r="56" spans="1:6" x14ac:dyDescent="0.25">
      <c r="A56" t="s">
        <v>209</v>
      </c>
      <c r="B56">
        <v>44400</v>
      </c>
      <c r="C56">
        <v>48400</v>
      </c>
      <c r="D56">
        <v>44100</v>
      </c>
      <c r="E56">
        <v>41400</v>
      </c>
      <c r="F56">
        <v>47300</v>
      </c>
    </row>
    <row r="57" spans="1:6" x14ac:dyDescent="0.25">
      <c r="A57" t="s">
        <v>210</v>
      </c>
      <c r="B57">
        <v>45500</v>
      </c>
      <c r="C57">
        <v>50200</v>
      </c>
      <c r="D57">
        <v>48400</v>
      </c>
      <c r="E57">
        <v>40000</v>
      </c>
      <c r="F57">
        <v>50000</v>
      </c>
    </row>
    <row r="58" spans="1:6" x14ac:dyDescent="0.25">
      <c r="A58" t="s">
        <v>211</v>
      </c>
      <c r="B58">
        <v>46300</v>
      </c>
      <c r="C58">
        <v>50900</v>
      </c>
      <c r="D58">
        <v>47600</v>
      </c>
      <c r="E58">
        <v>41200</v>
      </c>
      <c r="F58">
        <v>51700</v>
      </c>
    </row>
    <row r="59" spans="1:6" x14ac:dyDescent="0.25">
      <c r="A59" t="s">
        <v>212</v>
      </c>
      <c r="B59">
        <v>48900</v>
      </c>
      <c r="C59">
        <v>53200</v>
      </c>
      <c r="D59">
        <v>50800</v>
      </c>
      <c r="E59">
        <v>44300</v>
      </c>
      <c r="F59">
        <v>53200</v>
      </c>
    </row>
    <row r="60" spans="1:6" x14ac:dyDescent="0.25">
      <c r="A60" t="s">
        <v>213</v>
      </c>
      <c r="B60">
        <v>48800</v>
      </c>
      <c r="C60">
        <v>49300</v>
      </c>
      <c r="D60">
        <v>51100</v>
      </c>
      <c r="E60">
        <v>44600</v>
      </c>
      <c r="F60">
        <v>53700</v>
      </c>
    </row>
    <row r="61" spans="1:6" x14ac:dyDescent="0.25">
      <c r="A61" t="s">
        <v>214</v>
      </c>
      <c r="B61">
        <v>51600</v>
      </c>
      <c r="C61">
        <v>52000</v>
      </c>
      <c r="D61">
        <v>56400</v>
      </c>
      <c r="E61">
        <v>46100</v>
      </c>
      <c r="F61">
        <v>56800</v>
      </c>
    </row>
    <row r="62" spans="1:6" x14ac:dyDescent="0.25">
      <c r="A62" t="s">
        <v>215</v>
      </c>
      <c r="B62">
        <v>53000</v>
      </c>
      <c r="C62">
        <v>56800</v>
      </c>
      <c r="D62">
        <v>54700</v>
      </c>
      <c r="E62">
        <v>47700</v>
      </c>
      <c r="F62">
        <v>58800</v>
      </c>
    </row>
    <row r="63" spans="1:6" x14ac:dyDescent="0.25">
      <c r="A63" t="s">
        <v>216</v>
      </c>
      <c r="B63">
        <v>55300</v>
      </c>
      <c r="C63">
        <v>55400</v>
      </c>
      <c r="D63">
        <v>58700</v>
      </c>
      <c r="E63">
        <v>49900</v>
      </c>
      <c r="F63">
        <v>61800</v>
      </c>
    </row>
    <row r="64" spans="1:6" x14ac:dyDescent="0.25">
      <c r="A64" t="s">
        <v>217</v>
      </c>
      <c r="B64">
        <v>56100</v>
      </c>
      <c r="C64">
        <v>57800</v>
      </c>
      <c r="D64">
        <v>61400</v>
      </c>
      <c r="E64">
        <v>51300</v>
      </c>
      <c r="F64">
        <v>61000</v>
      </c>
    </row>
    <row r="65" spans="1:6" x14ac:dyDescent="0.25">
      <c r="A65" t="s">
        <v>218</v>
      </c>
      <c r="B65">
        <v>59000</v>
      </c>
      <c r="C65">
        <v>60700</v>
      </c>
      <c r="D65">
        <v>63200</v>
      </c>
      <c r="E65">
        <v>53000</v>
      </c>
      <c r="F65">
        <v>65500</v>
      </c>
    </row>
    <row r="66" spans="1:6" x14ac:dyDescent="0.25">
      <c r="A66" t="s">
        <v>219</v>
      </c>
      <c r="B66">
        <v>60600</v>
      </c>
      <c r="C66">
        <v>65500</v>
      </c>
      <c r="D66">
        <v>61300</v>
      </c>
      <c r="E66">
        <v>54300</v>
      </c>
      <c r="F66">
        <v>66500</v>
      </c>
    </row>
    <row r="67" spans="1:6" x14ac:dyDescent="0.25">
      <c r="A67" t="s">
        <v>220</v>
      </c>
      <c r="B67">
        <v>63100</v>
      </c>
      <c r="C67">
        <v>65800</v>
      </c>
      <c r="D67">
        <v>65300</v>
      </c>
      <c r="E67">
        <v>57400</v>
      </c>
      <c r="F67">
        <v>69600</v>
      </c>
    </row>
    <row r="68" spans="1:6" x14ac:dyDescent="0.25">
      <c r="A68" t="s">
        <v>221</v>
      </c>
      <c r="B68">
        <v>64700</v>
      </c>
      <c r="C68">
        <v>66500</v>
      </c>
      <c r="D68">
        <v>64300</v>
      </c>
      <c r="E68">
        <v>59700</v>
      </c>
      <c r="F68">
        <v>73400</v>
      </c>
    </row>
    <row r="69" spans="1:6" x14ac:dyDescent="0.25">
      <c r="A69" t="s">
        <v>222</v>
      </c>
      <c r="B69">
        <v>62600</v>
      </c>
      <c r="C69">
        <v>67100</v>
      </c>
      <c r="D69">
        <v>63100</v>
      </c>
      <c r="E69">
        <v>57300</v>
      </c>
      <c r="F69">
        <v>71700</v>
      </c>
    </row>
    <row r="70" spans="1:6" x14ac:dyDescent="0.25">
      <c r="A70" t="s">
        <v>223</v>
      </c>
      <c r="B70">
        <v>63700</v>
      </c>
      <c r="C70">
        <v>65400</v>
      </c>
      <c r="D70">
        <v>64700</v>
      </c>
      <c r="E70">
        <v>59000</v>
      </c>
      <c r="F70">
        <v>72100</v>
      </c>
    </row>
    <row r="71" spans="1:6" x14ac:dyDescent="0.25">
      <c r="A71" t="s">
        <v>224</v>
      </c>
      <c r="B71">
        <v>64000</v>
      </c>
      <c r="C71">
        <v>67900</v>
      </c>
      <c r="D71">
        <v>60100</v>
      </c>
      <c r="E71">
        <v>58700</v>
      </c>
      <c r="F71">
        <v>74400</v>
      </c>
    </row>
    <row r="72" spans="1:6" x14ac:dyDescent="0.25">
      <c r="A72" t="s">
        <v>225</v>
      </c>
      <c r="B72">
        <v>64900</v>
      </c>
      <c r="C72">
        <v>71900</v>
      </c>
      <c r="D72">
        <v>64000</v>
      </c>
      <c r="E72">
        <v>60400</v>
      </c>
      <c r="F72">
        <v>70800</v>
      </c>
    </row>
    <row r="73" spans="1:6" x14ac:dyDescent="0.25">
      <c r="A73" t="s">
        <v>226</v>
      </c>
      <c r="B73">
        <v>66400</v>
      </c>
      <c r="C73">
        <v>71400</v>
      </c>
      <c r="D73">
        <v>64200</v>
      </c>
      <c r="E73">
        <v>61200</v>
      </c>
      <c r="F73">
        <v>74100</v>
      </c>
    </row>
    <row r="74" spans="1:6" x14ac:dyDescent="0.25">
      <c r="A74" t="s">
        <v>227</v>
      </c>
      <c r="B74">
        <v>66800</v>
      </c>
      <c r="C74">
        <v>71300</v>
      </c>
      <c r="D74">
        <v>68300</v>
      </c>
      <c r="E74">
        <v>62300</v>
      </c>
      <c r="F74">
        <v>74700</v>
      </c>
    </row>
    <row r="75" spans="1:6" x14ac:dyDescent="0.25">
      <c r="A75" t="s">
        <v>228</v>
      </c>
      <c r="B75">
        <v>69400</v>
      </c>
      <c r="C75">
        <v>84000</v>
      </c>
      <c r="D75">
        <v>66900</v>
      </c>
      <c r="E75">
        <v>63500</v>
      </c>
      <c r="F75">
        <v>78500</v>
      </c>
    </row>
    <row r="76" spans="1:6" x14ac:dyDescent="0.25">
      <c r="A76" t="s">
        <v>229</v>
      </c>
      <c r="B76">
        <v>69200</v>
      </c>
      <c r="C76">
        <v>73700</v>
      </c>
      <c r="D76">
        <v>63600</v>
      </c>
      <c r="E76">
        <v>66000</v>
      </c>
      <c r="F76">
        <v>77500</v>
      </c>
    </row>
    <row r="77" spans="1:6" x14ac:dyDescent="0.25">
      <c r="A77" t="s">
        <v>230</v>
      </c>
      <c r="B77">
        <v>70400</v>
      </c>
      <c r="C77">
        <v>71100</v>
      </c>
      <c r="D77">
        <v>65600</v>
      </c>
      <c r="E77">
        <v>66100</v>
      </c>
      <c r="F77">
        <v>79600</v>
      </c>
    </row>
    <row r="78" spans="1:6" x14ac:dyDescent="0.25">
      <c r="A78" t="s">
        <v>231</v>
      </c>
      <c r="B78">
        <v>66400</v>
      </c>
      <c r="C78">
        <v>69900</v>
      </c>
      <c r="D78">
        <v>66400</v>
      </c>
      <c r="E78">
        <v>64400</v>
      </c>
      <c r="F78">
        <v>73300</v>
      </c>
    </row>
    <row r="79" spans="1:6" x14ac:dyDescent="0.25">
      <c r="A79" t="s">
        <v>232</v>
      </c>
      <c r="B79">
        <v>69600</v>
      </c>
      <c r="C79">
        <v>81600</v>
      </c>
      <c r="D79">
        <v>68600</v>
      </c>
      <c r="E79">
        <v>65700</v>
      </c>
      <c r="F79">
        <v>77900</v>
      </c>
    </row>
    <row r="80" spans="1:6" x14ac:dyDescent="0.25">
      <c r="A80" t="s">
        <v>233</v>
      </c>
      <c r="B80">
        <v>69300</v>
      </c>
      <c r="C80">
        <v>81300</v>
      </c>
      <c r="D80">
        <v>64800</v>
      </c>
      <c r="E80">
        <v>67300</v>
      </c>
      <c r="F80">
        <v>72000</v>
      </c>
    </row>
    <row r="81" spans="1:6" x14ac:dyDescent="0.25">
      <c r="A81" t="s">
        <v>234</v>
      </c>
      <c r="B81">
        <v>71600</v>
      </c>
      <c r="C81">
        <v>76800</v>
      </c>
      <c r="D81">
        <v>75800</v>
      </c>
      <c r="E81">
        <v>68100</v>
      </c>
      <c r="F81">
        <v>77500</v>
      </c>
    </row>
    <row r="82" spans="1:6" x14ac:dyDescent="0.25">
      <c r="A82" t="s">
        <v>235</v>
      </c>
      <c r="B82">
        <v>73300</v>
      </c>
      <c r="C82">
        <v>77800</v>
      </c>
      <c r="D82">
        <v>77000</v>
      </c>
      <c r="E82">
        <v>69200</v>
      </c>
      <c r="F82">
        <v>78800</v>
      </c>
    </row>
    <row r="83" spans="1:6" x14ac:dyDescent="0.25">
      <c r="A83" t="s">
        <v>236</v>
      </c>
      <c r="B83">
        <v>74900</v>
      </c>
      <c r="C83">
        <v>81000</v>
      </c>
      <c r="D83">
        <v>80200</v>
      </c>
      <c r="E83">
        <v>69300</v>
      </c>
      <c r="F83">
        <v>78900</v>
      </c>
    </row>
    <row r="84" spans="1:6" x14ac:dyDescent="0.25">
      <c r="A84" t="s">
        <v>237</v>
      </c>
      <c r="B84">
        <v>77400</v>
      </c>
      <c r="C84">
        <v>84100</v>
      </c>
      <c r="D84">
        <v>81500</v>
      </c>
      <c r="E84">
        <v>73200</v>
      </c>
      <c r="F84">
        <v>82600</v>
      </c>
    </row>
    <row r="85" spans="1:6" x14ac:dyDescent="0.25">
      <c r="A85" t="s">
        <v>238</v>
      </c>
      <c r="B85">
        <v>75900</v>
      </c>
      <c r="C85">
        <v>84900</v>
      </c>
      <c r="D85">
        <v>78100</v>
      </c>
      <c r="E85">
        <v>71900</v>
      </c>
      <c r="F85">
        <v>81900</v>
      </c>
    </row>
    <row r="86" spans="1:6" x14ac:dyDescent="0.25">
      <c r="A86" t="s">
        <v>239</v>
      </c>
      <c r="B86">
        <v>78200</v>
      </c>
      <c r="C86">
        <v>82700</v>
      </c>
      <c r="D86">
        <v>81400</v>
      </c>
      <c r="E86">
        <v>71900</v>
      </c>
      <c r="F86">
        <v>85600</v>
      </c>
    </row>
    <row r="87" spans="1:6" x14ac:dyDescent="0.25">
      <c r="A87" t="s">
        <v>240</v>
      </c>
      <c r="B87">
        <v>80700</v>
      </c>
      <c r="C87">
        <v>94200</v>
      </c>
      <c r="D87">
        <v>86400</v>
      </c>
      <c r="E87">
        <v>71900</v>
      </c>
      <c r="F87">
        <v>87400</v>
      </c>
    </row>
    <row r="88" spans="1:6" x14ac:dyDescent="0.25">
      <c r="A88" t="s">
        <v>241</v>
      </c>
      <c r="B88">
        <v>81000</v>
      </c>
      <c r="C88">
        <v>91200</v>
      </c>
      <c r="D88">
        <v>87500</v>
      </c>
      <c r="E88">
        <v>71100</v>
      </c>
      <c r="F88">
        <v>87400</v>
      </c>
    </row>
    <row r="89" spans="1:6" x14ac:dyDescent="0.25">
      <c r="A89" t="s">
        <v>242</v>
      </c>
      <c r="B89">
        <v>79900</v>
      </c>
      <c r="C89">
        <v>86600</v>
      </c>
      <c r="D89">
        <v>86500</v>
      </c>
      <c r="E89">
        <v>73000</v>
      </c>
      <c r="F89">
        <v>89800</v>
      </c>
    </row>
    <row r="90" spans="1:6" x14ac:dyDescent="0.25">
      <c r="A90" t="s">
        <v>243</v>
      </c>
      <c r="B90">
        <v>82800</v>
      </c>
      <c r="C90">
        <v>89800</v>
      </c>
      <c r="D90">
        <v>80100</v>
      </c>
      <c r="E90">
        <v>74800</v>
      </c>
      <c r="F90">
        <v>92100</v>
      </c>
    </row>
    <row r="91" spans="1:6" x14ac:dyDescent="0.25">
      <c r="A91" t="s">
        <v>244</v>
      </c>
      <c r="B91">
        <v>84300</v>
      </c>
      <c r="C91">
        <v>99800</v>
      </c>
      <c r="D91">
        <v>79600</v>
      </c>
      <c r="E91">
        <v>73600</v>
      </c>
      <c r="F91">
        <v>93700</v>
      </c>
    </row>
    <row r="92" spans="1:6" x14ac:dyDescent="0.25">
      <c r="A92" t="s">
        <v>245</v>
      </c>
      <c r="B92">
        <v>83200</v>
      </c>
      <c r="C92">
        <v>108800</v>
      </c>
      <c r="D92">
        <v>78200</v>
      </c>
      <c r="E92">
        <v>74300</v>
      </c>
      <c r="F92">
        <v>90600</v>
      </c>
    </row>
    <row r="93" spans="1:6" x14ac:dyDescent="0.25">
      <c r="A93" t="s">
        <v>246</v>
      </c>
      <c r="B93">
        <v>86800</v>
      </c>
      <c r="C93">
        <v>105700</v>
      </c>
      <c r="D93">
        <v>81800</v>
      </c>
      <c r="E93">
        <v>78300</v>
      </c>
      <c r="F93">
        <v>95300</v>
      </c>
    </row>
    <row r="94" spans="1:6" x14ac:dyDescent="0.25">
      <c r="A94" t="s">
        <v>247</v>
      </c>
      <c r="B94">
        <v>88000</v>
      </c>
      <c r="C94">
        <v>121500</v>
      </c>
      <c r="D94">
        <v>84100</v>
      </c>
      <c r="E94">
        <v>78400</v>
      </c>
      <c r="F94">
        <v>92800</v>
      </c>
    </row>
    <row r="95" spans="1:6" x14ac:dyDescent="0.25">
      <c r="A95" t="s">
        <v>248</v>
      </c>
      <c r="B95">
        <v>92100</v>
      </c>
      <c r="C95">
        <v>121000</v>
      </c>
      <c r="D95">
        <v>89900</v>
      </c>
      <c r="E95">
        <v>79800</v>
      </c>
      <c r="F95">
        <v>95200</v>
      </c>
    </row>
    <row r="96" spans="1:6" x14ac:dyDescent="0.25">
      <c r="A96" t="s">
        <v>249</v>
      </c>
      <c r="B96">
        <v>93000</v>
      </c>
      <c r="C96">
        <v>125000</v>
      </c>
      <c r="D96">
        <v>87500</v>
      </c>
      <c r="E96">
        <v>81900</v>
      </c>
      <c r="F96">
        <v>99400</v>
      </c>
    </row>
    <row r="97" spans="1:6" x14ac:dyDescent="0.25">
      <c r="A97" t="s">
        <v>250</v>
      </c>
      <c r="B97">
        <v>95000</v>
      </c>
      <c r="C97">
        <v>131500</v>
      </c>
      <c r="D97">
        <v>89900</v>
      </c>
      <c r="E97">
        <v>84400</v>
      </c>
      <c r="F97">
        <v>98500</v>
      </c>
    </row>
    <row r="98" spans="1:6" x14ac:dyDescent="0.25">
      <c r="A98" t="s">
        <v>251</v>
      </c>
      <c r="B98">
        <v>97900</v>
      </c>
      <c r="C98">
        <v>139000</v>
      </c>
      <c r="D98">
        <v>90100</v>
      </c>
      <c r="E98">
        <v>85800</v>
      </c>
      <c r="F98">
        <v>104200</v>
      </c>
    </row>
    <row r="99" spans="1:6" x14ac:dyDescent="0.25">
      <c r="A99" t="s">
        <v>252</v>
      </c>
      <c r="B99">
        <v>103400</v>
      </c>
      <c r="C99">
        <v>145000</v>
      </c>
      <c r="D99">
        <v>95000</v>
      </c>
      <c r="E99">
        <v>88000</v>
      </c>
      <c r="F99">
        <v>113700</v>
      </c>
    </row>
    <row r="100" spans="1:6" x14ac:dyDescent="0.25">
      <c r="A100" t="s">
        <v>253</v>
      </c>
      <c r="B100">
        <v>106000</v>
      </c>
      <c r="C100">
        <v>139900</v>
      </c>
      <c r="D100">
        <v>92000</v>
      </c>
      <c r="E100">
        <v>88900</v>
      </c>
      <c r="F100">
        <v>118000</v>
      </c>
    </row>
    <row r="101" spans="1:6" x14ac:dyDescent="0.25">
      <c r="A101" t="s">
        <v>254</v>
      </c>
      <c r="B101">
        <v>111500</v>
      </c>
      <c r="C101">
        <v>142000</v>
      </c>
      <c r="D101">
        <v>103000</v>
      </c>
      <c r="E101">
        <v>89800</v>
      </c>
      <c r="F101">
        <v>116400</v>
      </c>
    </row>
    <row r="102" spans="1:6" x14ac:dyDescent="0.25">
      <c r="A102" t="s">
        <v>255</v>
      </c>
      <c r="B102">
        <v>110000</v>
      </c>
      <c r="C102">
        <v>149000</v>
      </c>
      <c r="D102">
        <v>104100</v>
      </c>
      <c r="E102">
        <v>91000</v>
      </c>
      <c r="F102">
        <v>124500</v>
      </c>
    </row>
    <row r="103" spans="1:6" x14ac:dyDescent="0.25">
      <c r="A103" t="s">
        <v>256</v>
      </c>
      <c r="B103">
        <v>110000</v>
      </c>
      <c r="C103">
        <v>145000</v>
      </c>
      <c r="D103">
        <v>104000</v>
      </c>
      <c r="E103">
        <v>89300</v>
      </c>
      <c r="F103">
        <v>123000</v>
      </c>
    </row>
    <row r="104" spans="1:6" x14ac:dyDescent="0.25">
      <c r="A104" t="s">
        <v>257</v>
      </c>
      <c r="B104">
        <v>115000</v>
      </c>
      <c r="C104">
        <v>153000</v>
      </c>
      <c r="D104">
        <v>95000</v>
      </c>
      <c r="E104">
        <v>95800</v>
      </c>
      <c r="F104">
        <v>131000</v>
      </c>
    </row>
    <row r="105" spans="1:6" x14ac:dyDescent="0.25">
      <c r="A105" t="s">
        <v>258</v>
      </c>
      <c r="B105">
        <v>113900</v>
      </c>
      <c r="C105">
        <v>155000</v>
      </c>
      <c r="D105">
        <v>97500</v>
      </c>
      <c r="E105">
        <v>93000</v>
      </c>
      <c r="F105">
        <v>129000</v>
      </c>
    </row>
    <row r="106" spans="1:6" x14ac:dyDescent="0.25">
      <c r="A106" t="s">
        <v>259</v>
      </c>
      <c r="B106">
        <v>118000</v>
      </c>
      <c r="C106">
        <v>168500</v>
      </c>
      <c r="D106">
        <v>109900</v>
      </c>
      <c r="E106">
        <v>93000</v>
      </c>
      <c r="F106">
        <v>135900</v>
      </c>
    </row>
    <row r="107" spans="1:6" x14ac:dyDescent="0.25">
      <c r="A107" t="s">
        <v>260</v>
      </c>
      <c r="B107">
        <v>118900</v>
      </c>
      <c r="C107">
        <v>144900</v>
      </c>
      <c r="D107">
        <v>113000</v>
      </c>
      <c r="E107">
        <v>97500</v>
      </c>
      <c r="F107">
        <v>136000</v>
      </c>
    </row>
    <row r="108" spans="1:6" x14ac:dyDescent="0.25">
      <c r="A108" t="s">
        <v>261</v>
      </c>
      <c r="B108">
        <v>120000</v>
      </c>
      <c r="C108">
        <v>165700</v>
      </c>
      <c r="D108">
        <v>99500</v>
      </c>
      <c r="E108">
        <v>94900</v>
      </c>
      <c r="F108">
        <v>139000</v>
      </c>
    </row>
    <row r="109" spans="1:6" x14ac:dyDescent="0.25">
      <c r="A109" t="s">
        <v>262</v>
      </c>
      <c r="B109">
        <v>124800</v>
      </c>
      <c r="C109">
        <v>161400</v>
      </c>
      <c r="D109">
        <v>110000</v>
      </c>
      <c r="E109">
        <v>96500</v>
      </c>
      <c r="F109">
        <v>144900</v>
      </c>
    </row>
    <row r="110" spans="1:6" x14ac:dyDescent="0.25">
      <c r="A110" t="s">
        <v>263</v>
      </c>
      <c r="B110">
        <v>123900</v>
      </c>
      <c r="C110">
        <v>150000</v>
      </c>
      <c r="D110">
        <v>114000</v>
      </c>
      <c r="E110">
        <v>98900</v>
      </c>
      <c r="F110">
        <v>145000</v>
      </c>
    </row>
    <row r="111" spans="1:6" x14ac:dyDescent="0.25">
      <c r="A111" t="s">
        <v>264</v>
      </c>
      <c r="B111">
        <v>126800</v>
      </c>
      <c r="C111">
        <v>159900</v>
      </c>
      <c r="D111">
        <v>116500</v>
      </c>
      <c r="E111">
        <v>103000</v>
      </c>
      <c r="F111">
        <v>150000</v>
      </c>
    </row>
    <row r="112" spans="1:6" x14ac:dyDescent="0.25">
      <c r="A112" t="s">
        <v>265</v>
      </c>
      <c r="B112">
        <v>117000</v>
      </c>
      <c r="C112">
        <v>158000</v>
      </c>
      <c r="D112">
        <v>99500</v>
      </c>
      <c r="E112">
        <v>95900</v>
      </c>
      <c r="F112">
        <v>150000</v>
      </c>
    </row>
    <row r="113" spans="1:6" x14ac:dyDescent="0.25">
      <c r="A113" t="s">
        <v>266</v>
      </c>
      <c r="B113">
        <v>121500</v>
      </c>
      <c r="C113">
        <v>167000</v>
      </c>
      <c r="D113">
        <v>97000</v>
      </c>
      <c r="E113">
        <v>98000</v>
      </c>
      <c r="F113">
        <v>145000</v>
      </c>
    </row>
    <row r="114" spans="1:6" x14ac:dyDescent="0.25">
      <c r="A114" t="s">
        <v>267</v>
      </c>
      <c r="B114">
        <v>120000</v>
      </c>
      <c r="C114">
        <v>153900</v>
      </c>
      <c r="D114">
        <v>115000</v>
      </c>
      <c r="E114">
        <v>101300</v>
      </c>
      <c r="F114">
        <v>145000</v>
      </c>
    </row>
    <row r="115" spans="1:6" x14ac:dyDescent="0.25">
      <c r="A115" t="s">
        <v>268</v>
      </c>
      <c r="B115">
        <v>119900</v>
      </c>
      <c r="C115">
        <v>150000</v>
      </c>
      <c r="D115">
        <v>110000</v>
      </c>
      <c r="E115">
        <v>100900</v>
      </c>
      <c r="F115">
        <v>143500</v>
      </c>
    </row>
    <row r="116" spans="1:6" x14ac:dyDescent="0.25">
      <c r="A116" t="s">
        <v>269</v>
      </c>
      <c r="B116">
        <v>120000</v>
      </c>
      <c r="C116">
        <v>155200</v>
      </c>
      <c r="D116">
        <v>107000</v>
      </c>
      <c r="E116">
        <v>99700</v>
      </c>
      <c r="F116">
        <v>144000</v>
      </c>
    </row>
    <row r="117" spans="1:6" x14ac:dyDescent="0.25">
      <c r="A117" t="s">
        <v>270</v>
      </c>
      <c r="B117">
        <v>120000</v>
      </c>
      <c r="C117">
        <v>169000</v>
      </c>
      <c r="D117">
        <v>112900</v>
      </c>
      <c r="E117">
        <v>100000</v>
      </c>
      <c r="F117">
        <v>136000</v>
      </c>
    </row>
    <row r="118" spans="1:6" x14ac:dyDescent="0.25">
      <c r="A118" t="s">
        <v>271</v>
      </c>
      <c r="B118">
        <v>119500</v>
      </c>
      <c r="C118">
        <v>166900</v>
      </c>
      <c r="D118">
        <v>112400</v>
      </c>
      <c r="E118">
        <v>106500</v>
      </c>
      <c r="F118">
        <v>129900</v>
      </c>
    </row>
    <row r="119" spans="1:6" x14ac:dyDescent="0.25">
      <c r="A119" t="s">
        <v>272</v>
      </c>
      <c r="B119">
        <v>120000</v>
      </c>
      <c r="C119">
        <v>175000</v>
      </c>
      <c r="D119">
        <v>120000</v>
      </c>
      <c r="E119">
        <v>101000</v>
      </c>
      <c r="F119">
        <v>129000</v>
      </c>
    </row>
    <row r="120" spans="1:6" x14ac:dyDescent="0.25">
      <c r="A120" t="s">
        <v>273</v>
      </c>
      <c r="B120">
        <v>120000</v>
      </c>
      <c r="C120">
        <v>170000</v>
      </c>
      <c r="D120">
        <v>110000</v>
      </c>
      <c r="E120">
        <v>102000</v>
      </c>
      <c r="F120">
        <v>134500</v>
      </c>
    </row>
    <row r="121" spans="1:6" x14ac:dyDescent="0.25">
      <c r="A121" t="s">
        <v>274</v>
      </c>
      <c r="B121">
        <v>126000</v>
      </c>
      <c r="C121">
        <v>165000</v>
      </c>
      <c r="D121">
        <v>125000</v>
      </c>
      <c r="E121">
        <v>110000</v>
      </c>
      <c r="F121">
        <v>132300</v>
      </c>
    </row>
    <row r="122" spans="1:6" x14ac:dyDescent="0.25">
      <c r="A122" t="s">
        <v>275</v>
      </c>
      <c r="B122">
        <v>125000</v>
      </c>
      <c r="C122">
        <v>150000</v>
      </c>
      <c r="D122">
        <v>123800</v>
      </c>
      <c r="E122">
        <v>109000</v>
      </c>
      <c r="F122">
        <v>134000</v>
      </c>
    </row>
    <row r="123" spans="1:6" x14ac:dyDescent="0.25">
      <c r="A123" t="s">
        <v>276</v>
      </c>
      <c r="B123">
        <v>127000</v>
      </c>
      <c r="C123">
        <v>175000</v>
      </c>
      <c r="D123">
        <v>125000</v>
      </c>
      <c r="E123">
        <v>115500</v>
      </c>
      <c r="F123">
        <v>135000</v>
      </c>
    </row>
    <row r="124" spans="1:6" x14ac:dyDescent="0.25">
      <c r="A124" t="s">
        <v>277</v>
      </c>
      <c r="B124">
        <v>127000</v>
      </c>
      <c r="C124">
        <v>155000</v>
      </c>
      <c r="D124">
        <v>127500</v>
      </c>
      <c r="E124">
        <v>114000</v>
      </c>
      <c r="F124">
        <v>136600</v>
      </c>
    </row>
    <row r="125" spans="1:6" x14ac:dyDescent="0.25">
      <c r="A125" t="s">
        <v>278</v>
      </c>
      <c r="B125">
        <v>127000</v>
      </c>
      <c r="C125">
        <v>162600</v>
      </c>
      <c r="D125">
        <v>124400</v>
      </c>
      <c r="E125">
        <v>115000</v>
      </c>
      <c r="F125">
        <v>135200</v>
      </c>
    </row>
    <row r="126" spans="1:6" x14ac:dyDescent="0.25">
      <c r="A126" t="s">
        <v>279</v>
      </c>
      <c r="B126">
        <v>130000</v>
      </c>
      <c r="C126">
        <v>159900</v>
      </c>
      <c r="D126">
        <v>133000</v>
      </c>
      <c r="E126">
        <v>116200</v>
      </c>
      <c r="F126">
        <v>140000</v>
      </c>
    </row>
    <row r="127" spans="1:6" x14ac:dyDescent="0.25">
      <c r="A127" t="s">
        <v>280</v>
      </c>
      <c r="B127">
        <v>130000</v>
      </c>
      <c r="C127">
        <v>172000</v>
      </c>
      <c r="D127">
        <v>131800</v>
      </c>
      <c r="E127">
        <v>118500</v>
      </c>
      <c r="F127">
        <v>137000</v>
      </c>
    </row>
    <row r="128" spans="1:6" x14ac:dyDescent="0.25">
      <c r="A128" t="s">
        <v>281</v>
      </c>
      <c r="B128">
        <v>129700</v>
      </c>
      <c r="C128">
        <v>165000</v>
      </c>
      <c r="D128">
        <v>133300</v>
      </c>
      <c r="E128">
        <v>113700</v>
      </c>
      <c r="F128">
        <v>140000</v>
      </c>
    </row>
    <row r="129" spans="1:6" x14ac:dyDescent="0.25">
      <c r="A129" t="s">
        <v>282</v>
      </c>
      <c r="B129">
        <v>132000</v>
      </c>
      <c r="C129">
        <v>169000</v>
      </c>
      <c r="D129">
        <v>130000</v>
      </c>
      <c r="E129">
        <v>117900</v>
      </c>
      <c r="F129">
        <v>148000</v>
      </c>
    </row>
    <row r="130" spans="1:6" x14ac:dyDescent="0.25">
      <c r="A130" t="s">
        <v>283</v>
      </c>
      <c r="B130">
        <v>130000</v>
      </c>
      <c r="C130">
        <v>179900</v>
      </c>
      <c r="D130">
        <v>130000</v>
      </c>
      <c r="E130">
        <v>118000</v>
      </c>
      <c r="F130">
        <v>139400</v>
      </c>
    </row>
    <row r="131" spans="1:6" x14ac:dyDescent="0.25">
      <c r="A131" t="s">
        <v>284</v>
      </c>
      <c r="B131">
        <v>133900</v>
      </c>
      <c r="C131">
        <v>179900</v>
      </c>
      <c r="D131">
        <v>136000</v>
      </c>
      <c r="E131">
        <v>124500</v>
      </c>
      <c r="F131">
        <v>140000</v>
      </c>
    </row>
    <row r="132" spans="1:6" x14ac:dyDescent="0.25">
      <c r="A132" t="s">
        <v>285</v>
      </c>
      <c r="B132">
        <v>132000</v>
      </c>
      <c r="C132">
        <v>179900</v>
      </c>
      <c r="D132">
        <v>131000</v>
      </c>
      <c r="E132">
        <v>121000</v>
      </c>
      <c r="F132">
        <v>143000</v>
      </c>
    </row>
    <row r="133" spans="1:6" x14ac:dyDescent="0.25">
      <c r="A133" t="s">
        <v>286</v>
      </c>
      <c r="B133">
        <v>138000</v>
      </c>
      <c r="C133">
        <v>183500</v>
      </c>
      <c r="D133">
        <v>135000</v>
      </c>
      <c r="E133">
        <v>127000</v>
      </c>
      <c r="F133">
        <v>143000</v>
      </c>
    </row>
    <row r="134" spans="1:6" x14ac:dyDescent="0.25">
      <c r="A134" t="s">
        <v>287</v>
      </c>
      <c r="B134">
        <v>137000</v>
      </c>
      <c r="C134">
        <v>179000</v>
      </c>
      <c r="D134">
        <v>135200</v>
      </c>
      <c r="E134">
        <v>125500</v>
      </c>
      <c r="F134">
        <v>148200</v>
      </c>
    </row>
    <row r="135" spans="1:6" x14ac:dyDescent="0.25">
      <c r="A135" t="s">
        <v>288</v>
      </c>
      <c r="B135">
        <v>139900</v>
      </c>
      <c r="C135">
        <v>199700</v>
      </c>
      <c r="D135">
        <v>138200</v>
      </c>
      <c r="E135">
        <v>125000</v>
      </c>
      <c r="F135">
        <v>155900</v>
      </c>
    </row>
    <row r="136" spans="1:6" x14ac:dyDescent="0.25">
      <c r="A136" t="s">
        <v>289</v>
      </c>
      <c r="B136">
        <v>140000</v>
      </c>
      <c r="C136">
        <v>181000</v>
      </c>
      <c r="D136">
        <v>134900</v>
      </c>
      <c r="E136">
        <v>123900</v>
      </c>
      <c r="F136">
        <v>154800</v>
      </c>
    </row>
    <row r="137" spans="1:6" x14ac:dyDescent="0.25">
      <c r="A137" t="s">
        <v>290</v>
      </c>
      <c r="B137">
        <v>144100</v>
      </c>
      <c r="C137">
        <v>200000</v>
      </c>
      <c r="D137">
        <v>145000</v>
      </c>
      <c r="E137">
        <v>127900</v>
      </c>
      <c r="F137">
        <v>160000</v>
      </c>
    </row>
    <row r="138" spans="1:6" x14ac:dyDescent="0.25">
      <c r="A138" t="s">
        <v>291</v>
      </c>
      <c r="B138">
        <v>145000</v>
      </c>
      <c r="C138">
        <v>204400</v>
      </c>
      <c r="D138">
        <v>144900</v>
      </c>
      <c r="E138">
        <v>127100</v>
      </c>
      <c r="F138">
        <v>159900</v>
      </c>
    </row>
    <row r="139" spans="1:6" x14ac:dyDescent="0.25">
      <c r="A139" t="s">
        <v>292</v>
      </c>
      <c r="B139">
        <v>145800</v>
      </c>
      <c r="C139">
        <v>189000</v>
      </c>
      <c r="D139">
        <v>148500</v>
      </c>
      <c r="E139">
        <v>129900</v>
      </c>
      <c r="F139">
        <v>160000</v>
      </c>
    </row>
    <row r="140" spans="1:6" x14ac:dyDescent="0.25">
      <c r="A140" t="s">
        <v>293</v>
      </c>
      <c r="B140">
        <v>145000</v>
      </c>
      <c r="C140">
        <v>180000</v>
      </c>
      <c r="D140">
        <v>150000</v>
      </c>
      <c r="E140">
        <v>127000</v>
      </c>
      <c r="F140">
        <v>159000</v>
      </c>
    </row>
    <row r="141" spans="1:6" x14ac:dyDescent="0.25">
      <c r="A141" t="s">
        <v>294</v>
      </c>
      <c r="B141">
        <v>144200</v>
      </c>
      <c r="C141">
        <v>195000</v>
      </c>
      <c r="D141">
        <v>144500</v>
      </c>
      <c r="E141">
        <v>129000</v>
      </c>
      <c r="F141">
        <v>159000</v>
      </c>
    </row>
    <row r="142" spans="1:6" x14ac:dyDescent="0.25">
      <c r="A142" t="s">
        <v>295</v>
      </c>
      <c r="B142">
        <v>152200</v>
      </c>
      <c r="C142">
        <v>196000</v>
      </c>
      <c r="D142">
        <v>160000</v>
      </c>
      <c r="E142">
        <v>131000</v>
      </c>
      <c r="F142">
        <v>163400</v>
      </c>
    </row>
    <row r="143" spans="1:6" x14ac:dyDescent="0.25">
      <c r="A143" t="s">
        <v>296</v>
      </c>
      <c r="B143">
        <v>149500</v>
      </c>
      <c r="C143">
        <v>200000</v>
      </c>
      <c r="D143">
        <v>152000</v>
      </c>
      <c r="E143">
        <v>132300</v>
      </c>
      <c r="F143">
        <v>159300</v>
      </c>
    </row>
    <row r="144" spans="1:6" x14ac:dyDescent="0.25">
      <c r="A144" t="s">
        <v>297</v>
      </c>
      <c r="B144">
        <v>153000</v>
      </c>
      <c r="C144">
        <v>212000</v>
      </c>
      <c r="D144">
        <v>159000</v>
      </c>
      <c r="E144">
        <v>137300</v>
      </c>
      <c r="F144">
        <v>166400</v>
      </c>
    </row>
    <row r="145" spans="1:6" x14ac:dyDescent="0.25">
      <c r="A145" t="s">
        <v>298</v>
      </c>
      <c r="B145">
        <v>153000</v>
      </c>
      <c r="C145">
        <v>200000</v>
      </c>
      <c r="D145">
        <v>156000</v>
      </c>
      <c r="E145">
        <v>138500</v>
      </c>
      <c r="F145">
        <v>165000</v>
      </c>
    </row>
    <row r="146" spans="1:6" x14ac:dyDescent="0.25">
      <c r="A146" t="s">
        <v>299</v>
      </c>
      <c r="B146">
        <v>157400</v>
      </c>
      <c r="C146">
        <v>195500</v>
      </c>
      <c r="D146">
        <v>165700</v>
      </c>
      <c r="E146">
        <v>142500</v>
      </c>
      <c r="F146">
        <v>168700</v>
      </c>
    </row>
    <row r="147" spans="1:6" x14ac:dyDescent="0.25">
      <c r="A147" t="s">
        <v>300</v>
      </c>
      <c r="B147">
        <v>158700</v>
      </c>
      <c r="C147">
        <v>214700</v>
      </c>
      <c r="D147">
        <v>155200</v>
      </c>
      <c r="E147">
        <v>143000</v>
      </c>
      <c r="F147">
        <v>170400</v>
      </c>
    </row>
    <row r="148" spans="1:6" x14ac:dyDescent="0.25">
      <c r="A148" t="s">
        <v>301</v>
      </c>
      <c r="B148">
        <v>159100</v>
      </c>
      <c r="C148">
        <v>206400</v>
      </c>
      <c r="D148">
        <v>163100</v>
      </c>
      <c r="E148">
        <v>141100</v>
      </c>
      <c r="F148">
        <v>173400</v>
      </c>
    </row>
    <row r="149" spans="1:6" x14ac:dyDescent="0.25">
      <c r="A149" t="s">
        <v>302</v>
      </c>
      <c r="B149">
        <v>165300</v>
      </c>
      <c r="C149">
        <v>212600</v>
      </c>
      <c r="D149">
        <v>165100</v>
      </c>
      <c r="E149">
        <v>149600</v>
      </c>
      <c r="F149">
        <v>188000</v>
      </c>
    </row>
    <row r="150" spans="1:6" x14ac:dyDescent="0.25">
      <c r="A150" t="s">
        <v>303</v>
      </c>
      <c r="B150">
        <v>165300</v>
      </c>
      <c r="C150">
        <v>229300</v>
      </c>
      <c r="D150">
        <v>165300</v>
      </c>
      <c r="E150">
        <v>148000</v>
      </c>
      <c r="F150">
        <v>190300</v>
      </c>
    </row>
    <row r="151" spans="1:6" x14ac:dyDescent="0.25">
      <c r="A151" t="s">
        <v>304</v>
      </c>
      <c r="B151">
        <v>163200</v>
      </c>
      <c r="C151">
        <v>239500</v>
      </c>
      <c r="D151">
        <v>165900</v>
      </c>
      <c r="E151">
        <v>142500</v>
      </c>
      <c r="F151">
        <v>190800</v>
      </c>
    </row>
    <row r="152" spans="1:6" x14ac:dyDescent="0.25">
      <c r="A152" t="s">
        <v>305</v>
      </c>
      <c r="B152">
        <v>168800</v>
      </c>
      <c r="C152">
        <v>212800</v>
      </c>
      <c r="D152">
        <v>162200</v>
      </c>
      <c r="E152">
        <v>152300</v>
      </c>
      <c r="F152">
        <v>192700</v>
      </c>
    </row>
    <row r="153" spans="1:6" x14ac:dyDescent="0.25">
      <c r="A153" t="s">
        <v>306</v>
      </c>
      <c r="B153">
        <v>172900</v>
      </c>
      <c r="C153">
        <v>241400</v>
      </c>
      <c r="D153">
        <v>180000</v>
      </c>
      <c r="E153">
        <v>148400</v>
      </c>
      <c r="F153">
        <v>210300</v>
      </c>
    </row>
    <row r="154" spans="1:6" x14ac:dyDescent="0.25">
      <c r="A154" t="s">
        <v>307</v>
      </c>
      <c r="B154">
        <v>169800</v>
      </c>
      <c r="C154">
        <v>242800</v>
      </c>
      <c r="D154">
        <v>170400</v>
      </c>
      <c r="E154">
        <v>154700</v>
      </c>
      <c r="F154">
        <v>206400</v>
      </c>
    </row>
    <row r="155" spans="1:6" x14ac:dyDescent="0.25">
      <c r="A155" t="s">
        <v>308</v>
      </c>
      <c r="B155">
        <v>179000</v>
      </c>
      <c r="C155">
        <v>255200</v>
      </c>
      <c r="D155">
        <v>177200</v>
      </c>
      <c r="E155">
        <v>156100</v>
      </c>
      <c r="F155">
        <v>204600</v>
      </c>
    </row>
    <row r="156" spans="1:6" x14ac:dyDescent="0.25">
      <c r="A156" t="s">
        <v>309</v>
      </c>
      <c r="B156">
        <v>172500</v>
      </c>
      <c r="C156">
        <v>244200</v>
      </c>
      <c r="D156">
        <v>168600</v>
      </c>
      <c r="E156">
        <v>152800</v>
      </c>
      <c r="F156">
        <v>218100</v>
      </c>
    </row>
    <row r="157" spans="1:6" x14ac:dyDescent="0.25">
      <c r="A157" t="s">
        <v>310</v>
      </c>
      <c r="B157">
        <v>171100</v>
      </c>
      <c r="C157">
        <v>247800</v>
      </c>
      <c r="D157">
        <v>169500</v>
      </c>
      <c r="E157">
        <v>152100</v>
      </c>
      <c r="F157">
        <v>227200</v>
      </c>
    </row>
    <row r="158" spans="1:6" x14ac:dyDescent="0.25">
      <c r="A158" t="s">
        <v>311</v>
      </c>
      <c r="B158">
        <v>188700</v>
      </c>
      <c r="C158">
        <v>254200</v>
      </c>
      <c r="D158">
        <v>181800</v>
      </c>
      <c r="E158">
        <v>160900</v>
      </c>
      <c r="F158">
        <v>238500</v>
      </c>
    </row>
    <row r="159" spans="1:6" x14ac:dyDescent="0.25">
      <c r="A159" t="s">
        <v>312</v>
      </c>
      <c r="B159">
        <v>187200</v>
      </c>
      <c r="C159">
        <v>261100</v>
      </c>
      <c r="D159">
        <v>173000</v>
      </c>
      <c r="E159">
        <v>164000</v>
      </c>
      <c r="F159">
        <v>239600</v>
      </c>
    </row>
    <row r="160" spans="1:6" x14ac:dyDescent="0.25">
      <c r="A160" t="s">
        <v>313</v>
      </c>
      <c r="B160">
        <v>178100</v>
      </c>
      <c r="C160">
        <v>255400</v>
      </c>
      <c r="D160">
        <v>170900</v>
      </c>
      <c r="E160">
        <v>158200</v>
      </c>
      <c r="F160">
        <v>228100</v>
      </c>
    </row>
    <row r="161" spans="1:6" x14ac:dyDescent="0.25">
      <c r="A161" t="s">
        <v>314</v>
      </c>
      <c r="B161">
        <v>190100</v>
      </c>
      <c r="C161">
        <v>287100</v>
      </c>
      <c r="D161">
        <v>179800</v>
      </c>
      <c r="E161">
        <v>165400</v>
      </c>
      <c r="F161">
        <v>244400</v>
      </c>
    </row>
    <row r="162" spans="1:6" x14ac:dyDescent="0.25">
      <c r="A162" t="s">
        <v>315</v>
      </c>
      <c r="B162">
        <v>186000</v>
      </c>
      <c r="C162">
        <v>208100</v>
      </c>
      <c r="D162">
        <v>178200</v>
      </c>
      <c r="E162">
        <v>165800</v>
      </c>
      <c r="F162">
        <v>253700</v>
      </c>
    </row>
    <row r="163" spans="1:6" x14ac:dyDescent="0.25">
      <c r="A163" t="s">
        <v>316</v>
      </c>
      <c r="B163">
        <v>191800</v>
      </c>
      <c r="C163">
        <v>279900</v>
      </c>
      <c r="D163">
        <v>176500</v>
      </c>
      <c r="E163">
        <v>164600</v>
      </c>
      <c r="F163">
        <v>245600</v>
      </c>
    </row>
    <row r="164" spans="1:6" x14ac:dyDescent="0.25">
      <c r="A164" t="s">
        <v>317</v>
      </c>
      <c r="B164">
        <v>191900</v>
      </c>
      <c r="C164">
        <v>259400</v>
      </c>
      <c r="D164">
        <v>184000</v>
      </c>
      <c r="E164">
        <v>163400</v>
      </c>
      <c r="F164">
        <v>272200</v>
      </c>
    </row>
    <row r="165" spans="1:6" x14ac:dyDescent="0.25">
      <c r="A165" t="s">
        <v>318</v>
      </c>
      <c r="B165">
        <v>198800</v>
      </c>
      <c r="C165">
        <v>290000</v>
      </c>
      <c r="D165">
        <v>189600</v>
      </c>
      <c r="E165">
        <v>169400</v>
      </c>
      <c r="F165">
        <v>272800</v>
      </c>
    </row>
    <row r="166" spans="1:6" x14ac:dyDescent="0.25">
      <c r="A166" t="s">
        <v>319</v>
      </c>
      <c r="B166">
        <v>212700</v>
      </c>
      <c r="C166">
        <v>292000</v>
      </c>
      <c r="D166">
        <v>208900</v>
      </c>
      <c r="E166">
        <v>173800</v>
      </c>
      <c r="F166">
        <v>273300</v>
      </c>
    </row>
    <row r="167" spans="1:6" x14ac:dyDescent="0.25">
      <c r="A167" t="s">
        <v>320</v>
      </c>
      <c r="B167">
        <v>217600</v>
      </c>
      <c r="C167">
        <v>290300</v>
      </c>
      <c r="D167">
        <v>203500</v>
      </c>
      <c r="E167">
        <v>171400</v>
      </c>
      <c r="F167">
        <v>278700</v>
      </c>
    </row>
    <row r="168" spans="1:6" x14ac:dyDescent="0.25">
      <c r="A168" t="s">
        <v>321</v>
      </c>
      <c r="B168">
        <v>213500</v>
      </c>
      <c r="C168">
        <v>347700</v>
      </c>
      <c r="D168">
        <v>198100</v>
      </c>
      <c r="E168">
        <v>176700</v>
      </c>
      <c r="F168">
        <v>277100</v>
      </c>
    </row>
    <row r="169" spans="1:6" x14ac:dyDescent="0.25">
      <c r="A169" t="s">
        <v>322</v>
      </c>
      <c r="B169">
        <v>228800</v>
      </c>
      <c r="C169">
        <v>357400</v>
      </c>
      <c r="D169">
        <v>214300</v>
      </c>
      <c r="E169">
        <v>190900</v>
      </c>
      <c r="F169">
        <v>297000</v>
      </c>
    </row>
    <row r="170" spans="1:6" x14ac:dyDescent="0.25">
      <c r="A170" t="s">
        <v>323</v>
      </c>
      <c r="B170">
        <v>232500</v>
      </c>
      <c r="C170">
        <v>366800</v>
      </c>
      <c r="D170">
        <v>219000</v>
      </c>
      <c r="E170">
        <v>188600</v>
      </c>
      <c r="F170">
        <v>309800</v>
      </c>
    </row>
    <row r="171" spans="1:6" x14ac:dyDescent="0.25">
      <c r="A171" t="s">
        <v>324</v>
      </c>
      <c r="B171">
        <v>233700</v>
      </c>
      <c r="C171">
        <v>325700</v>
      </c>
      <c r="D171">
        <v>208900</v>
      </c>
      <c r="E171">
        <v>192000</v>
      </c>
      <c r="F171">
        <v>329900</v>
      </c>
    </row>
    <row r="172" spans="1:6" x14ac:dyDescent="0.25">
      <c r="A172" t="s">
        <v>325</v>
      </c>
      <c r="B172">
        <v>236400</v>
      </c>
      <c r="C172">
        <v>318700</v>
      </c>
      <c r="D172">
        <v>202700</v>
      </c>
      <c r="E172">
        <v>190000</v>
      </c>
      <c r="F172">
        <v>344300</v>
      </c>
    </row>
    <row r="173" spans="1:6" x14ac:dyDescent="0.25">
      <c r="A173" t="s">
        <v>326</v>
      </c>
      <c r="B173">
        <v>243600</v>
      </c>
      <c r="C173">
        <v>370300</v>
      </c>
      <c r="D173">
        <v>224200</v>
      </c>
      <c r="E173">
        <v>200000</v>
      </c>
      <c r="F173">
        <v>332000</v>
      </c>
    </row>
    <row r="174" spans="1:6" x14ac:dyDescent="0.25">
      <c r="A174" t="s">
        <v>327</v>
      </c>
      <c r="B174">
        <v>247700</v>
      </c>
      <c r="C174">
        <v>334600</v>
      </c>
      <c r="D174">
        <v>210700</v>
      </c>
      <c r="E174">
        <v>205900</v>
      </c>
      <c r="F174">
        <v>330000</v>
      </c>
    </row>
    <row r="175" spans="1:6" x14ac:dyDescent="0.25">
      <c r="A175" t="s">
        <v>328</v>
      </c>
      <c r="B175">
        <v>246300</v>
      </c>
      <c r="C175">
        <v>344600</v>
      </c>
      <c r="D175">
        <v>203100</v>
      </c>
      <c r="E175">
        <v>206700</v>
      </c>
      <c r="F175">
        <v>329800</v>
      </c>
    </row>
    <row r="176" spans="1:6" x14ac:dyDescent="0.25">
      <c r="A176" t="s">
        <v>329</v>
      </c>
      <c r="B176">
        <v>235600</v>
      </c>
      <c r="C176">
        <v>380500</v>
      </c>
      <c r="D176">
        <v>216800</v>
      </c>
      <c r="E176">
        <v>195100</v>
      </c>
      <c r="F176">
        <v>342200</v>
      </c>
    </row>
    <row r="177" spans="1:8" x14ac:dyDescent="0.25">
      <c r="A177" t="s">
        <v>330</v>
      </c>
      <c r="B177">
        <v>245400</v>
      </c>
      <c r="C177">
        <v>351400</v>
      </c>
      <c r="D177">
        <v>216200</v>
      </c>
      <c r="E177">
        <v>207400</v>
      </c>
      <c r="F177">
        <v>356500</v>
      </c>
    </row>
    <row r="178" spans="1:8" x14ac:dyDescent="0.25">
      <c r="A178" t="s">
        <v>331</v>
      </c>
      <c r="B178">
        <v>257400</v>
      </c>
      <c r="C178">
        <v>370300</v>
      </c>
      <c r="D178">
        <v>212800</v>
      </c>
      <c r="E178">
        <v>222900</v>
      </c>
      <c r="F178">
        <v>341500</v>
      </c>
    </row>
    <row r="179" spans="1:8" x14ac:dyDescent="0.25">
      <c r="A179" t="s">
        <v>332</v>
      </c>
      <c r="B179">
        <v>242200</v>
      </c>
      <c r="C179">
        <v>304900</v>
      </c>
      <c r="D179">
        <v>203200</v>
      </c>
      <c r="E179">
        <v>208300</v>
      </c>
      <c r="F179">
        <v>344600</v>
      </c>
    </row>
    <row r="180" spans="1:8" x14ac:dyDescent="0.25">
      <c r="A180" t="s">
        <v>333</v>
      </c>
      <c r="B180">
        <v>241800</v>
      </c>
      <c r="C180">
        <v>301300</v>
      </c>
      <c r="D180">
        <v>209600</v>
      </c>
      <c r="E180">
        <v>214900</v>
      </c>
      <c r="F180">
        <v>310200</v>
      </c>
    </row>
    <row r="181" spans="1:8" x14ac:dyDescent="0.25">
      <c r="A181" t="s">
        <v>334</v>
      </c>
      <c r="B181">
        <v>238400</v>
      </c>
      <c r="C181">
        <v>336900</v>
      </c>
      <c r="D181">
        <v>197400</v>
      </c>
      <c r="E181">
        <v>214900</v>
      </c>
      <c r="F181">
        <v>321300</v>
      </c>
    </row>
    <row r="182" spans="1:8" x14ac:dyDescent="0.25">
      <c r="A182" t="s">
        <v>335</v>
      </c>
      <c r="B182">
        <v>233900</v>
      </c>
      <c r="C182">
        <v>325900</v>
      </c>
      <c r="D182">
        <v>219200</v>
      </c>
      <c r="E182">
        <v>202200</v>
      </c>
      <c r="F182">
        <v>293700</v>
      </c>
    </row>
    <row r="183" spans="1:8" x14ac:dyDescent="0.25">
      <c r="A183" t="s">
        <v>336</v>
      </c>
      <c r="B183">
        <v>235300</v>
      </c>
      <c r="C183">
        <v>352500</v>
      </c>
      <c r="D183">
        <v>198500</v>
      </c>
      <c r="E183">
        <v>208100</v>
      </c>
      <c r="F183">
        <v>302500</v>
      </c>
    </row>
    <row r="184" spans="1:8" x14ac:dyDescent="0.25">
      <c r="A184" t="s">
        <v>337</v>
      </c>
      <c r="B184">
        <v>226500</v>
      </c>
      <c r="C184">
        <v>385200</v>
      </c>
      <c r="D184">
        <v>184700</v>
      </c>
      <c r="E184">
        <v>203300</v>
      </c>
      <c r="F184">
        <v>290700</v>
      </c>
    </row>
    <row r="185" spans="1:8" x14ac:dyDescent="0.25">
      <c r="A185" t="s">
        <v>338</v>
      </c>
      <c r="B185">
        <v>222500</v>
      </c>
      <c r="C185">
        <v>300700</v>
      </c>
      <c r="D185">
        <v>202500</v>
      </c>
      <c r="E185">
        <v>188700</v>
      </c>
      <c r="F185">
        <v>296800</v>
      </c>
    </row>
    <row r="186" spans="1:8" x14ac:dyDescent="0.25">
      <c r="A186" t="s">
        <v>339</v>
      </c>
      <c r="B186">
        <v>208400</v>
      </c>
      <c r="C186">
        <v>314800</v>
      </c>
      <c r="D186">
        <v>187100</v>
      </c>
      <c r="E186">
        <v>189300</v>
      </c>
      <c r="F186">
        <v>274300</v>
      </c>
    </row>
    <row r="187" spans="1:8" x14ac:dyDescent="0.25">
      <c r="A187" t="s">
        <v>340</v>
      </c>
      <c r="B187">
        <v>220900</v>
      </c>
      <c r="C187">
        <v>272500</v>
      </c>
      <c r="D187">
        <v>193200</v>
      </c>
      <c r="E187">
        <v>201000</v>
      </c>
      <c r="F187">
        <v>272400</v>
      </c>
    </row>
    <row r="188" spans="1:8" x14ac:dyDescent="0.25">
      <c r="A188" t="s">
        <v>341</v>
      </c>
      <c r="B188">
        <v>214300</v>
      </c>
      <c r="C188">
        <v>322200</v>
      </c>
      <c r="D188">
        <v>184900</v>
      </c>
      <c r="E188">
        <v>189700</v>
      </c>
      <c r="F188">
        <v>253700</v>
      </c>
    </row>
    <row r="189" spans="1:8" x14ac:dyDescent="0.25">
      <c r="A189" t="s">
        <v>342</v>
      </c>
      <c r="B189">
        <v>219000</v>
      </c>
      <c r="C189">
        <v>324600</v>
      </c>
      <c r="D189">
        <v>196000</v>
      </c>
      <c r="E189">
        <v>191800</v>
      </c>
      <c r="F189">
        <v>251900</v>
      </c>
    </row>
    <row r="190" spans="1:8" x14ac:dyDescent="0.25">
      <c r="A190" t="s">
        <v>343</v>
      </c>
      <c r="B190">
        <v>222900</v>
      </c>
      <c r="C190">
        <v>337400</v>
      </c>
      <c r="D190">
        <v>203800</v>
      </c>
      <c r="E190">
        <v>187900</v>
      </c>
      <c r="F190">
        <v>263600</v>
      </c>
      <c r="H190" s="21"/>
    </row>
    <row r="191" spans="1:8" x14ac:dyDescent="0.25">
      <c r="A191" t="s">
        <v>344</v>
      </c>
      <c r="B191">
        <v>219500</v>
      </c>
      <c r="C191">
        <v>348700</v>
      </c>
      <c r="D191">
        <v>192400</v>
      </c>
      <c r="E191">
        <v>195200</v>
      </c>
      <c r="F191">
        <v>264100</v>
      </c>
      <c r="H191" s="21"/>
    </row>
    <row r="192" spans="1:8" x14ac:dyDescent="0.25">
      <c r="A192" t="s">
        <v>345</v>
      </c>
      <c r="B192">
        <v>224100</v>
      </c>
      <c r="C192">
        <v>291000</v>
      </c>
      <c r="D192">
        <v>191800</v>
      </c>
      <c r="E192">
        <v>203900</v>
      </c>
      <c r="F192">
        <v>259500</v>
      </c>
      <c r="H192" s="21"/>
    </row>
    <row r="193" spans="1:12" x14ac:dyDescent="0.25">
      <c r="A193" t="s">
        <v>346</v>
      </c>
      <c r="B193">
        <v>224300</v>
      </c>
      <c r="C193">
        <v>358000</v>
      </c>
      <c r="D193">
        <v>205800</v>
      </c>
      <c r="E193">
        <v>198500</v>
      </c>
      <c r="F193">
        <v>248900</v>
      </c>
      <c r="H193" s="21"/>
    </row>
    <row r="194" spans="1:12" x14ac:dyDescent="0.25">
      <c r="A194" t="s">
        <v>347</v>
      </c>
      <c r="B194">
        <v>226900</v>
      </c>
      <c r="C194">
        <v>336200</v>
      </c>
      <c r="D194">
        <v>196800</v>
      </c>
      <c r="E194">
        <v>209800</v>
      </c>
      <c r="F194">
        <v>251400</v>
      </c>
      <c r="H194" s="21"/>
    </row>
    <row r="195" spans="1:12" x14ac:dyDescent="0.25">
      <c r="A195" t="s">
        <v>348</v>
      </c>
      <c r="B195">
        <v>228100</v>
      </c>
      <c r="C195">
        <v>289100</v>
      </c>
      <c r="D195">
        <v>211600</v>
      </c>
      <c r="E195">
        <v>209900</v>
      </c>
      <c r="F195">
        <v>259200</v>
      </c>
      <c r="H195" s="21"/>
    </row>
    <row r="196" spans="1:12" x14ac:dyDescent="0.25">
      <c r="A196" t="s">
        <v>349</v>
      </c>
      <c r="B196">
        <v>223500</v>
      </c>
      <c r="C196">
        <v>324100</v>
      </c>
      <c r="D196">
        <v>195400</v>
      </c>
      <c r="E196">
        <v>210300</v>
      </c>
      <c r="F196">
        <v>251400</v>
      </c>
      <c r="H196" s="21"/>
    </row>
    <row r="197" spans="1:12" x14ac:dyDescent="0.25">
      <c r="A197" t="s">
        <v>350</v>
      </c>
      <c r="B197">
        <v>221100</v>
      </c>
      <c r="C197">
        <v>322800</v>
      </c>
      <c r="D197">
        <v>209800</v>
      </c>
      <c r="E197">
        <v>201200</v>
      </c>
      <c r="F197">
        <v>252000</v>
      </c>
      <c r="H197" s="21"/>
    </row>
    <row r="198" spans="1:12" x14ac:dyDescent="0.25">
      <c r="A198" t="s">
        <v>351</v>
      </c>
      <c r="B198">
        <v>238400</v>
      </c>
      <c r="C198">
        <v>305400</v>
      </c>
      <c r="D198">
        <v>223100</v>
      </c>
      <c r="E198">
        <v>217300</v>
      </c>
      <c r="F198">
        <v>272300</v>
      </c>
      <c r="H198" s="21"/>
    </row>
    <row r="199" spans="1:12" x14ac:dyDescent="0.25">
      <c r="A199" t="s">
        <v>352</v>
      </c>
      <c r="B199">
        <v>238700</v>
      </c>
      <c r="C199">
        <v>360900</v>
      </c>
      <c r="D199">
        <v>230600</v>
      </c>
      <c r="E199">
        <v>211700</v>
      </c>
      <c r="F199">
        <v>258600</v>
      </c>
      <c r="H199" s="21"/>
    </row>
    <row r="200" spans="1:12" x14ac:dyDescent="0.25">
      <c r="A200" t="s">
        <v>353</v>
      </c>
      <c r="B200">
        <v>248800</v>
      </c>
      <c r="C200">
        <v>385700</v>
      </c>
      <c r="D200">
        <v>239500</v>
      </c>
      <c r="E200">
        <v>226200</v>
      </c>
      <c r="F200">
        <v>265500</v>
      </c>
      <c r="H200" s="21"/>
    </row>
    <row r="201" spans="1:12" x14ac:dyDescent="0.25">
      <c r="A201" t="s">
        <v>354</v>
      </c>
      <c r="B201">
        <v>251700</v>
      </c>
      <c r="C201">
        <v>374300</v>
      </c>
      <c r="D201">
        <v>219200</v>
      </c>
      <c r="E201">
        <v>237500</v>
      </c>
      <c r="F201">
        <v>291200</v>
      </c>
      <c r="H201" s="21"/>
    </row>
    <row r="202" spans="1:12" x14ac:dyDescent="0.25">
      <c r="A202" t="s">
        <v>355</v>
      </c>
      <c r="B202">
        <v>258400</v>
      </c>
      <c r="C202">
        <v>370300</v>
      </c>
      <c r="D202">
        <v>221700</v>
      </c>
      <c r="E202">
        <v>232400</v>
      </c>
      <c r="F202">
        <v>290500</v>
      </c>
      <c r="H202" s="21"/>
    </row>
    <row r="203" spans="1:12" x14ac:dyDescent="0.25">
      <c r="A203" t="s">
        <v>356</v>
      </c>
      <c r="B203">
        <v>268100</v>
      </c>
      <c r="C203">
        <v>373200</v>
      </c>
      <c r="D203">
        <v>261900</v>
      </c>
      <c r="E203">
        <v>250200</v>
      </c>
      <c r="F203">
        <v>302400</v>
      </c>
      <c r="H203" s="21"/>
    </row>
    <row r="204" spans="1:12" x14ac:dyDescent="0.25">
      <c r="A204" t="s">
        <v>360</v>
      </c>
      <c r="B204">
        <v>264800</v>
      </c>
      <c r="C204">
        <v>320100</v>
      </c>
      <c r="D204">
        <v>257300</v>
      </c>
      <c r="E204">
        <v>237800</v>
      </c>
      <c r="F204">
        <v>322900</v>
      </c>
      <c r="H204" s="21"/>
    </row>
    <row r="205" spans="1:12" x14ac:dyDescent="0.25">
      <c r="A205" t="s">
        <v>361</v>
      </c>
      <c r="B205">
        <v>273600</v>
      </c>
      <c r="C205">
        <v>421400</v>
      </c>
      <c r="D205">
        <v>258400</v>
      </c>
      <c r="E205">
        <v>245100</v>
      </c>
      <c r="F205">
        <v>331000</v>
      </c>
      <c r="H205" s="21"/>
      <c r="L205" s="58"/>
    </row>
    <row r="206" spans="1:12" x14ac:dyDescent="0.25">
      <c r="A206" t="s">
        <v>362</v>
      </c>
      <c r="B206">
        <v>275200</v>
      </c>
      <c r="C206">
        <v>339800</v>
      </c>
      <c r="D206">
        <v>256000</v>
      </c>
      <c r="E206">
        <v>252000</v>
      </c>
      <c r="F206">
        <v>324700</v>
      </c>
      <c r="H206" s="21"/>
    </row>
    <row r="207" spans="1:12" x14ac:dyDescent="0.25">
      <c r="A207" t="s">
        <v>363</v>
      </c>
      <c r="B207">
        <v>288000</v>
      </c>
      <c r="C207">
        <v>361900</v>
      </c>
      <c r="D207">
        <v>269100</v>
      </c>
      <c r="E207">
        <v>265400</v>
      </c>
      <c r="F207">
        <v>344400</v>
      </c>
      <c r="H207" s="21"/>
    </row>
    <row r="208" spans="1:12" x14ac:dyDescent="0.25">
      <c r="A208" t="s">
        <v>364</v>
      </c>
      <c r="B208">
        <v>281000</v>
      </c>
      <c r="C208">
        <v>453900</v>
      </c>
      <c r="D208">
        <v>269700</v>
      </c>
      <c r="E208">
        <v>253200</v>
      </c>
      <c r="F208">
        <v>327500</v>
      </c>
      <c r="H208" s="21"/>
    </row>
    <row r="209" spans="1:14" x14ac:dyDescent="0.25">
      <c r="A209" t="s">
        <v>365</v>
      </c>
      <c r="B209">
        <v>298900</v>
      </c>
      <c r="C209">
        <v>398600</v>
      </c>
      <c r="D209">
        <v>282300</v>
      </c>
      <c r="E209">
        <v>276400</v>
      </c>
      <c r="F209">
        <v>355400</v>
      </c>
      <c r="H209" s="21"/>
    </row>
    <row r="210" spans="1:14" x14ac:dyDescent="0.25">
      <c r="A210" t="s">
        <v>366</v>
      </c>
      <c r="B210">
        <v>289200</v>
      </c>
      <c r="C210">
        <v>456800</v>
      </c>
      <c r="D210">
        <v>277200</v>
      </c>
      <c r="E210">
        <v>263900</v>
      </c>
      <c r="F210">
        <v>347200</v>
      </c>
      <c r="H210" s="21"/>
    </row>
    <row r="211" spans="1:14" x14ac:dyDescent="0.25">
      <c r="A211" t="s">
        <v>367</v>
      </c>
      <c r="B211">
        <v>289100</v>
      </c>
      <c r="C211">
        <v>397800</v>
      </c>
      <c r="D211">
        <v>270100</v>
      </c>
      <c r="E211">
        <v>261800</v>
      </c>
      <c r="F211">
        <v>341000</v>
      </c>
      <c r="H211" s="21"/>
    </row>
    <row r="212" spans="1:14" x14ac:dyDescent="0.25">
      <c r="A212" t="s">
        <v>368</v>
      </c>
      <c r="B212">
        <v>295800</v>
      </c>
      <c r="C212">
        <v>383700</v>
      </c>
      <c r="D212">
        <v>276300</v>
      </c>
      <c r="E212">
        <v>276100</v>
      </c>
      <c r="F212">
        <v>330800</v>
      </c>
      <c r="H212" s="21"/>
    </row>
    <row r="213" spans="1:14" x14ac:dyDescent="0.25">
      <c r="A213" t="s">
        <v>369</v>
      </c>
      <c r="B213">
        <v>302500</v>
      </c>
      <c r="C213">
        <v>501900</v>
      </c>
      <c r="D213">
        <v>277300</v>
      </c>
      <c r="E213">
        <v>278700</v>
      </c>
      <c r="F213">
        <v>370300</v>
      </c>
      <c r="H213" s="21"/>
    </row>
    <row r="214" spans="1:14" x14ac:dyDescent="0.25">
      <c r="A214" t="s">
        <v>370</v>
      </c>
      <c r="B214">
        <v>299800</v>
      </c>
      <c r="C214">
        <v>417100</v>
      </c>
      <c r="D214">
        <v>267700</v>
      </c>
      <c r="E214">
        <v>277400</v>
      </c>
      <c r="F214">
        <v>350800</v>
      </c>
      <c r="H214" s="21"/>
    </row>
    <row r="215" spans="1:14" x14ac:dyDescent="0.25">
      <c r="A215" t="s">
        <v>371</v>
      </c>
      <c r="B215">
        <v>306000</v>
      </c>
      <c r="C215">
        <v>454100</v>
      </c>
      <c r="D215">
        <v>270100</v>
      </c>
      <c r="E215">
        <v>277100</v>
      </c>
      <c r="F215">
        <v>380000</v>
      </c>
      <c r="H215" s="21"/>
    </row>
    <row r="216" spans="1:14" x14ac:dyDescent="0.25">
      <c r="A216" t="s">
        <v>372</v>
      </c>
      <c r="B216">
        <v>303800</v>
      </c>
      <c r="C216">
        <v>434000</v>
      </c>
      <c r="D216">
        <v>278700</v>
      </c>
      <c r="E216">
        <v>280200</v>
      </c>
      <c r="F216">
        <v>368600</v>
      </c>
      <c r="H216" s="21"/>
    </row>
    <row r="217" spans="1:14" x14ac:dyDescent="0.25">
      <c r="A217" t="s">
        <v>373</v>
      </c>
      <c r="B217">
        <v>310900</v>
      </c>
      <c r="C217">
        <v>403700</v>
      </c>
      <c r="D217">
        <v>295400</v>
      </c>
      <c r="E217">
        <v>285900</v>
      </c>
      <c r="F217">
        <v>371100</v>
      </c>
      <c r="H217" s="21"/>
    </row>
    <row r="218" spans="1:14" x14ac:dyDescent="0.25">
      <c r="A218" t="s">
        <v>378</v>
      </c>
      <c r="B218">
        <v>313100</v>
      </c>
      <c r="C218">
        <v>566500</v>
      </c>
      <c r="D218">
        <v>276000</v>
      </c>
      <c r="E218">
        <v>281400</v>
      </c>
      <c r="F218">
        <v>372500</v>
      </c>
      <c r="H218" s="21"/>
    </row>
    <row r="219" spans="1:14" x14ac:dyDescent="0.25">
      <c r="A219" t="s">
        <v>379</v>
      </c>
      <c r="B219">
        <v>318200</v>
      </c>
      <c r="C219">
        <v>472200</v>
      </c>
      <c r="D219">
        <v>288300</v>
      </c>
      <c r="E219">
        <v>285400</v>
      </c>
      <c r="F219">
        <v>386300</v>
      </c>
      <c r="H219" s="21"/>
    </row>
    <row r="220" spans="1:14" x14ac:dyDescent="0.25">
      <c r="A220" t="s">
        <v>380</v>
      </c>
      <c r="B220">
        <v>320500</v>
      </c>
      <c r="C220">
        <v>445800</v>
      </c>
      <c r="D220">
        <v>278500</v>
      </c>
      <c r="E220">
        <v>295300</v>
      </c>
      <c r="F220">
        <v>385500</v>
      </c>
      <c r="H220" s="21"/>
    </row>
    <row r="221" spans="1:14" x14ac:dyDescent="0.25">
      <c r="A221" t="s">
        <v>381</v>
      </c>
      <c r="B221">
        <v>337900</v>
      </c>
      <c r="C221">
        <v>496500</v>
      </c>
      <c r="D221">
        <v>285600</v>
      </c>
      <c r="E221">
        <v>298500</v>
      </c>
      <c r="F221">
        <v>409700</v>
      </c>
    </row>
    <row r="222" spans="1:14" x14ac:dyDescent="0.25">
      <c r="A222" t="s">
        <v>382</v>
      </c>
      <c r="B222">
        <v>331800</v>
      </c>
      <c r="C222">
        <v>437500</v>
      </c>
      <c r="D222">
        <v>291200</v>
      </c>
      <c r="E222">
        <v>295800</v>
      </c>
      <c r="F222">
        <v>408000</v>
      </c>
      <c r="H222" s="21"/>
    </row>
    <row r="223" spans="1:14" x14ac:dyDescent="0.25">
      <c r="A223" t="s">
        <v>383</v>
      </c>
      <c r="B223">
        <v>315600</v>
      </c>
      <c r="C223">
        <v>453300</v>
      </c>
      <c r="D223">
        <v>277600</v>
      </c>
      <c r="E223">
        <v>285300</v>
      </c>
      <c r="F223">
        <v>423400</v>
      </c>
      <c r="H223" s="21"/>
    </row>
    <row r="224" spans="1:14" x14ac:dyDescent="0.25">
      <c r="A224" t="s">
        <v>384</v>
      </c>
      <c r="B224">
        <v>330900</v>
      </c>
      <c r="C224">
        <v>503700</v>
      </c>
      <c r="D224">
        <v>292100</v>
      </c>
      <c r="E224">
        <v>296100</v>
      </c>
      <c r="F224">
        <v>408600</v>
      </c>
      <c r="H224" s="15"/>
      <c r="N224" s="15"/>
    </row>
    <row r="225" spans="1:18" x14ac:dyDescent="0.25">
      <c r="A225" t="s">
        <v>385</v>
      </c>
      <c r="B225">
        <v>322800</v>
      </c>
      <c r="C225">
        <v>519700</v>
      </c>
      <c r="D225">
        <v>300300</v>
      </c>
      <c r="E225">
        <v>291600</v>
      </c>
      <c r="F225">
        <v>404300</v>
      </c>
      <c r="H225" s="21"/>
    </row>
    <row r="226" spans="1:18" x14ac:dyDescent="0.25">
      <c r="A226" t="s">
        <v>386</v>
      </c>
      <c r="B226">
        <v>313000</v>
      </c>
      <c r="C226">
        <v>480300</v>
      </c>
      <c r="D226">
        <v>288700</v>
      </c>
      <c r="E226">
        <v>280000</v>
      </c>
      <c r="F226">
        <v>402000</v>
      </c>
    </row>
    <row r="227" spans="1:18" x14ac:dyDescent="0.25">
      <c r="A227" t="s">
        <v>387</v>
      </c>
      <c r="B227">
        <v>322500</v>
      </c>
      <c r="C227">
        <v>453500</v>
      </c>
      <c r="D227">
        <v>273800</v>
      </c>
      <c r="E227">
        <v>292400</v>
      </c>
      <c r="F227">
        <v>411400</v>
      </c>
    </row>
    <row r="228" spans="1:18" x14ac:dyDescent="0.25">
      <c r="A228" t="s">
        <v>388</v>
      </c>
      <c r="B228">
        <v>318400</v>
      </c>
      <c r="C228">
        <v>543400</v>
      </c>
      <c r="D228">
        <v>294700</v>
      </c>
      <c r="E228">
        <v>289900</v>
      </c>
      <c r="F228">
        <v>399600</v>
      </c>
    </row>
    <row r="229" spans="1:18" x14ac:dyDescent="0.25">
      <c r="A229" t="s">
        <v>389</v>
      </c>
      <c r="B229">
        <v>327100</v>
      </c>
      <c r="C229">
        <v>469500</v>
      </c>
      <c r="D229">
        <v>284200</v>
      </c>
      <c r="E229">
        <v>290900</v>
      </c>
      <c r="F229">
        <v>417500</v>
      </c>
    </row>
    <row r="230" spans="1:18" x14ac:dyDescent="0.25">
      <c r="A230" t="s">
        <v>390</v>
      </c>
      <c r="B230">
        <v>329000</v>
      </c>
      <c r="C230">
        <v>512100</v>
      </c>
      <c r="D230">
        <v>288300</v>
      </c>
      <c r="E230">
        <v>279900</v>
      </c>
      <c r="F230">
        <v>411900</v>
      </c>
    </row>
    <row r="231" spans="1:18" x14ac:dyDescent="0.25">
      <c r="A231" t="s">
        <v>391</v>
      </c>
      <c r="B231">
        <v>322600</v>
      </c>
      <c r="C231">
        <v>441000</v>
      </c>
      <c r="D231">
        <v>287200</v>
      </c>
      <c r="E231">
        <v>290600</v>
      </c>
      <c r="F231">
        <v>404300</v>
      </c>
    </row>
    <row r="232" spans="1:18" x14ac:dyDescent="0.25">
      <c r="A232" t="s">
        <v>392</v>
      </c>
      <c r="B232">
        <v>337500</v>
      </c>
      <c r="C232">
        <v>449500</v>
      </c>
      <c r="D232">
        <v>311700</v>
      </c>
      <c r="E232">
        <v>294600</v>
      </c>
      <c r="F232">
        <v>403000</v>
      </c>
    </row>
    <row r="233" spans="1:18" x14ac:dyDescent="0.25">
      <c r="A233" t="s">
        <v>397</v>
      </c>
      <c r="B233">
        <v>358700</v>
      </c>
      <c r="C233">
        <v>508100</v>
      </c>
      <c r="D233">
        <v>294600</v>
      </c>
      <c r="E233">
        <v>320000</v>
      </c>
      <c r="F233">
        <v>427300</v>
      </c>
      <c r="H233" s="81"/>
      <c r="I233" s="81"/>
      <c r="J233" s="81"/>
      <c r="K233" s="81"/>
      <c r="L233" s="81"/>
    </row>
    <row r="234" spans="1:18" x14ac:dyDescent="0.25">
      <c r="A234" t="s">
        <v>398</v>
      </c>
      <c r="B234">
        <v>355000</v>
      </c>
      <c r="C234">
        <v>541500</v>
      </c>
      <c r="D234">
        <v>312800</v>
      </c>
      <c r="E234">
        <v>312700</v>
      </c>
      <c r="F234">
        <v>476600</v>
      </c>
      <c r="H234" s="82"/>
      <c r="I234" s="82"/>
      <c r="J234" s="82"/>
      <c r="K234" s="82"/>
      <c r="L234" s="82"/>
    </row>
    <row r="235" spans="1:18" x14ac:dyDescent="0.25">
      <c r="A235" t="s">
        <v>399</v>
      </c>
      <c r="B235">
        <v>367800</v>
      </c>
      <c r="C235">
        <v>584200</v>
      </c>
      <c r="D235">
        <v>320800</v>
      </c>
      <c r="E235">
        <v>322800</v>
      </c>
      <c r="F235">
        <v>478900</v>
      </c>
    </row>
    <row r="236" spans="1:18" x14ac:dyDescent="0.25">
      <c r="A236" t="s">
        <v>400</v>
      </c>
      <c r="B236">
        <v>395200</v>
      </c>
      <c r="C236">
        <v>567700</v>
      </c>
      <c r="D236">
        <v>359100</v>
      </c>
      <c r="E236">
        <v>348100</v>
      </c>
      <c r="F236">
        <v>509200</v>
      </c>
    </row>
    <row r="237" spans="1:18" x14ac:dyDescent="0.25">
      <c r="A237" t="s">
        <v>401</v>
      </c>
      <c r="B237">
        <v>414000</v>
      </c>
      <c r="C237">
        <v>566400</v>
      </c>
      <c r="D237">
        <v>370600</v>
      </c>
      <c r="E237">
        <v>364300</v>
      </c>
      <c r="F237">
        <v>541100</v>
      </c>
    </row>
    <row r="238" spans="1:18" x14ac:dyDescent="0.25">
      <c r="A238" t="s">
        <v>402</v>
      </c>
      <c r="B238">
        <v>413500</v>
      </c>
      <c r="C238">
        <v>587700</v>
      </c>
      <c r="D238">
        <v>388400</v>
      </c>
      <c r="E238">
        <v>368400</v>
      </c>
      <c r="F238">
        <v>560100</v>
      </c>
    </row>
    <row r="239" spans="1:18" x14ac:dyDescent="0.25">
      <c r="A239" t="s">
        <v>403</v>
      </c>
      <c r="B239" s="76">
        <v>437700</v>
      </c>
      <c r="C239" s="76">
        <v>609500</v>
      </c>
      <c r="D239" s="76">
        <v>398800</v>
      </c>
      <c r="E239" s="76">
        <v>387600</v>
      </c>
      <c r="F239" s="76">
        <v>580000</v>
      </c>
    </row>
    <row r="240" spans="1:18" s="76" customFormat="1" x14ac:dyDescent="0.25">
      <c r="A240" s="76" t="s">
        <v>404</v>
      </c>
      <c r="B240">
        <v>438000</v>
      </c>
      <c r="C240">
        <v>664600</v>
      </c>
      <c r="D240">
        <v>395200</v>
      </c>
      <c r="E240">
        <v>394900</v>
      </c>
      <c r="F240">
        <v>555300</v>
      </c>
      <c r="H240"/>
      <c r="I240"/>
      <c r="J240"/>
      <c r="K240"/>
      <c r="L240"/>
      <c r="N240"/>
      <c r="O240"/>
      <c r="P240"/>
      <c r="Q240"/>
      <c r="R240"/>
    </row>
    <row r="241" spans="1:6" x14ac:dyDescent="0.25">
      <c r="A241" t="s">
        <v>406</v>
      </c>
      <c r="B241">
        <v>442600</v>
      </c>
      <c r="C241">
        <v>591700</v>
      </c>
      <c r="D241">
        <v>372400</v>
      </c>
      <c r="E241">
        <v>398700</v>
      </c>
      <c r="F241">
        <v>577700</v>
      </c>
    </row>
    <row r="242" spans="1:6" x14ac:dyDescent="0.25">
      <c r="A242" t="s">
        <v>409</v>
      </c>
      <c r="B242">
        <v>429000</v>
      </c>
      <c r="C242">
        <v>727800</v>
      </c>
      <c r="D242">
        <v>384900</v>
      </c>
      <c r="E242">
        <v>385600</v>
      </c>
      <c r="F242">
        <v>558200</v>
      </c>
    </row>
    <row r="243" spans="1:6" x14ac:dyDescent="0.25">
      <c r="A243" t="s">
        <v>416</v>
      </c>
      <c r="B243">
        <v>418500</v>
      </c>
      <c r="C243">
        <v>744500</v>
      </c>
      <c r="D243">
        <v>393800</v>
      </c>
      <c r="E243">
        <v>374300</v>
      </c>
      <c r="F243">
        <v>543500</v>
      </c>
    </row>
    <row r="244" spans="1:6" x14ac:dyDescent="0.25">
      <c r="A244" t="s">
        <v>417</v>
      </c>
      <c r="B244">
        <v>435400</v>
      </c>
      <c r="C244">
        <v>893300</v>
      </c>
      <c r="D244">
        <v>423100</v>
      </c>
      <c r="E244">
        <v>394100</v>
      </c>
      <c r="F244">
        <v>513200</v>
      </c>
    </row>
    <row r="245" spans="1:6" x14ac:dyDescent="0.25">
      <c r="A245" t="s">
        <v>418</v>
      </c>
      <c r="B245">
        <v>423200</v>
      </c>
      <c r="C245">
        <v>707900</v>
      </c>
      <c r="D245">
        <v>370800</v>
      </c>
      <c r="E245">
        <v>388400</v>
      </c>
      <c r="F245">
        <v>520700</v>
      </c>
    </row>
    <row r="246" spans="1:6" x14ac:dyDescent="0.25">
      <c r="A246" t="s">
        <v>419</v>
      </c>
      <c r="B246">
        <v>426800</v>
      </c>
      <c r="C246">
        <v>835200</v>
      </c>
      <c r="D246">
        <v>386800</v>
      </c>
      <c r="E246">
        <v>378100</v>
      </c>
      <c r="F246">
        <v>552500</v>
      </c>
    </row>
    <row r="247" spans="1:6" x14ac:dyDescent="0.25">
      <c r="A247" t="s">
        <v>420</v>
      </c>
      <c r="B247">
        <v>414500</v>
      </c>
      <c r="C247">
        <v>702300</v>
      </c>
      <c r="D247">
        <v>381400</v>
      </c>
      <c r="E247">
        <v>372200</v>
      </c>
      <c r="F247">
        <v>529900</v>
      </c>
    </row>
    <row r="248" spans="1:6" x14ac:dyDescent="0.25">
      <c r="A248" t="s">
        <v>421</v>
      </c>
      <c r="B248">
        <v>415300</v>
      </c>
      <c r="C248">
        <v>615200</v>
      </c>
      <c r="D248">
        <v>389500</v>
      </c>
      <c r="E248">
        <v>367700</v>
      </c>
      <c r="F248">
        <v>552200</v>
      </c>
    </row>
    <row r="249" spans="1:6" x14ac:dyDescent="0.25">
      <c r="A249" t="s">
        <v>422</v>
      </c>
      <c r="B249">
        <v>419300</v>
      </c>
      <c r="C249">
        <v>782300</v>
      </c>
      <c r="D249">
        <v>378100</v>
      </c>
      <c r="E249">
        <v>376400</v>
      </c>
      <c r="F249">
        <v>560200</v>
      </c>
    </row>
    <row r="250" spans="1:6" x14ac:dyDescent="0.25">
      <c r="A250" t="s">
        <v>436</v>
      </c>
      <c r="B250">
        <v>423100</v>
      </c>
      <c r="C250">
        <v>791300</v>
      </c>
      <c r="D250">
        <v>377300</v>
      </c>
      <c r="E250">
        <v>378400</v>
      </c>
      <c r="F250">
        <v>532600</v>
      </c>
    </row>
    <row r="251" spans="1:6" x14ac:dyDescent="0.25">
      <c r="A251" t="s">
        <v>437</v>
      </c>
      <c r="B251">
        <v>416100</v>
      </c>
      <c r="C251">
        <v>788000</v>
      </c>
      <c r="D251">
        <v>386100</v>
      </c>
      <c r="E251">
        <v>374400</v>
      </c>
      <c r="F251">
        <v>539800</v>
      </c>
    </row>
    <row r="252" spans="1:6" x14ac:dyDescent="0.25">
      <c r="A252" t="s">
        <v>438</v>
      </c>
      <c r="B252">
        <v>410100</v>
      </c>
      <c r="C252">
        <v>727400</v>
      </c>
      <c r="D252">
        <v>391900</v>
      </c>
      <c r="E252">
        <v>363300</v>
      </c>
      <c r="F252">
        <v>532200</v>
      </c>
    </row>
    <row r="253" spans="1:6" x14ac:dyDescent="0.25">
      <c r="A253" t="s">
        <v>439</v>
      </c>
      <c r="B253">
        <v>412300</v>
      </c>
      <c r="C253">
        <v>790500</v>
      </c>
      <c r="D253">
        <v>381600</v>
      </c>
      <c r="E253">
        <v>371600</v>
      </c>
      <c r="F253">
        <v>573300</v>
      </c>
    </row>
    <row r="254" spans="1:6" x14ac:dyDescent="0.25">
      <c r="A254" t="s">
        <v>440</v>
      </c>
      <c r="B254">
        <v>403200</v>
      </c>
      <c r="C254">
        <v>815600</v>
      </c>
      <c r="D254">
        <v>375900</v>
      </c>
      <c r="E254">
        <v>361800</v>
      </c>
      <c r="F254">
        <v>551500</v>
      </c>
    </row>
    <row r="743" spans="2:6" x14ac:dyDescent="0.25">
      <c r="B743">
        <v>623</v>
      </c>
      <c r="C743">
        <v>92</v>
      </c>
      <c r="D743">
        <v>204</v>
      </c>
      <c r="E743">
        <v>327</v>
      </c>
      <c r="F743">
        <v>480</v>
      </c>
    </row>
    <row r="744" spans="2:6" x14ac:dyDescent="0.25">
      <c r="B744">
        <v>679</v>
      </c>
      <c r="C744">
        <v>65</v>
      </c>
      <c r="D744">
        <v>219</v>
      </c>
      <c r="E744">
        <v>395</v>
      </c>
      <c r="F744">
        <v>487</v>
      </c>
    </row>
    <row r="745" spans="2:6" x14ac:dyDescent="0.25">
      <c r="B745">
        <v>734</v>
      </c>
      <c r="C745">
        <v>106</v>
      </c>
      <c r="D745">
        <v>254</v>
      </c>
      <c r="E745">
        <v>374</v>
      </c>
      <c r="F745">
        <v>488</v>
      </c>
    </row>
    <row r="746" spans="2:6" x14ac:dyDescent="0.25">
      <c r="B746">
        <v>657</v>
      </c>
      <c r="C746">
        <v>76</v>
      </c>
      <c r="D746">
        <v>273</v>
      </c>
      <c r="E746">
        <v>308</v>
      </c>
      <c r="F746">
        <v>495</v>
      </c>
    </row>
  </sheetData>
  <phoneticPr fontId="9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4"/>
  <sheetViews>
    <sheetView workbookViewId="0">
      <pane ySplit="1" topLeftCell="A38" activePane="bottomLeft" state="frozen"/>
      <selection pane="bottomLeft" activeCell="L64" sqref="L64"/>
    </sheetView>
  </sheetViews>
  <sheetFormatPr defaultColWidth="8.7109375" defaultRowHeight="12" x14ac:dyDescent="0.2"/>
  <cols>
    <col min="1" max="1" width="6.85546875" style="151" customWidth="1"/>
    <col min="2" max="2" width="12.7109375" style="152" customWidth="1"/>
    <col min="3" max="11" width="12.7109375" style="151" customWidth="1"/>
    <col min="12" max="16384" width="8.7109375" style="151"/>
  </cols>
  <sheetData>
    <row r="1" spans="1:11" x14ac:dyDescent="0.2">
      <c r="A1" s="151" t="s">
        <v>0</v>
      </c>
      <c r="B1" s="152" t="s">
        <v>84</v>
      </c>
      <c r="C1" s="151" t="s">
        <v>85</v>
      </c>
      <c r="D1" s="151" t="s">
        <v>86</v>
      </c>
      <c r="E1" s="151" t="s">
        <v>87</v>
      </c>
      <c r="F1" s="151" t="s">
        <v>88</v>
      </c>
      <c r="G1" s="152" t="s">
        <v>89</v>
      </c>
      <c r="H1" s="151" t="s">
        <v>90</v>
      </c>
      <c r="I1" s="151" t="s">
        <v>91</v>
      </c>
      <c r="J1" s="151" t="s">
        <v>92</v>
      </c>
      <c r="K1" s="151" t="s">
        <v>93</v>
      </c>
    </row>
    <row r="2" spans="1:11" x14ac:dyDescent="0.2">
      <c r="A2" s="153">
        <v>1963</v>
      </c>
      <c r="B2" s="151">
        <v>18000</v>
      </c>
      <c r="C2" s="151">
        <v>20300</v>
      </c>
      <c r="D2" s="151">
        <v>17900</v>
      </c>
      <c r="E2" s="151">
        <v>16100</v>
      </c>
      <c r="F2" s="151">
        <v>18800</v>
      </c>
    </row>
    <row r="3" spans="1:11" x14ac:dyDescent="0.2">
      <c r="A3" s="153">
        <v>1964</v>
      </c>
      <c r="B3" s="151">
        <v>18900</v>
      </c>
      <c r="C3" s="151">
        <v>20300</v>
      </c>
      <c r="D3" s="151">
        <v>19400</v>
      </c>
      <c r="E3" s="151">
        <v>16700</v>
      </c>
      <c r="F3" s="151">
        <v>20400</v>
      </c>
    </row>
    <row r="4" spans="1:11" x14ac:dyDescent="0.2">
      <c r="A4" s="153">
        <v>1965</v>
      </c>
      <c r="B4" s="151">
        <v>20000</v>
      </c>
      <c r="C4" s="151">
        <v>21500</v>
      </c>
      <c r="D4" s="151">
        <v>21600</v>
      </c>
      <c r="E4" s="151">
        <v>17500</v>
      </c>
      <c r="F4" s="151">
        <v>21600</v>
      </c>
    </row>
    <row r="5" spans="1:11" x14ac:dyDescent="0.2">
      <c r="A5" s="153">
        <v>1966</v>
      </c>
      <c r="B5" s="151">
        <v>21400</v>
      </c>
      <c r="C5" s="151">
        <v>23500</v>
      </c>
      <c r="D5" s="151">
        <v>23200</v>
      </c>
      <c r="E5" s="151">
        <v>18200</v>
      </c>
      <c r="F5" s="151">
        <v>23200</v>
      </c>
    </row>
    <row r="6" spans="1:11" x14ac:dyDescent="0.2">
      <c r="A6" s="153">
        <v>1967</v>
      </c>
      <c r="B6" s="151">
        <v>22700</v>
      </c>
      <c r="C6" s="151">
        <v>25400</v>
      </c>
      <c r="D6" s="151">
        <v>25100</v>
      </c>
      <c r="E6" s="151">
        <v>19400</v>
      </c>
      <c r="F6" s="151">
        <v>24100</v>
      </c>
    </row>
    <row r="7" spans="1:11" x14ac:dyDescent="0.2">
      <c r="A7" s="153">
        <v>1968</v>
      </c>
      <c r="B7" s="151">
        <v>24700</v>
      </c>
      <c r="C7" s="151">
        <v>27700</v>
      </c>
      <c r="D7" s="151">
        <v>27400</v>
      </c>
      <c r="E7" s="151">
        <v>21500</v>
      </c>
      <c r="F7" s="151">
        <v>25100</v>
      </c>
      <c r="G7" s="151">
        <v>20100</v>
      </c>
      <c r="H7" s="151">
        <v>21400</v>
      </c>
      <c r="I7" s="151">
        <v>18200</v>
      </c>
      <c r="J7" s="151">
        <v>19000</v>
      </c>
      <c r="K7" s="151">
        <v>22900</v>
      </c>
    </row>
    <row r="8" spans="1:11" x14ac:dyDescent="0.2">
      <c r="A8" s="153">
        <v>1969</v>
      </c>
      <c r="B8" s="151">
        <v>25600</v>
      </c>
      <c r="C8" s="151">
        <v>31600</v>
      </c>
      <c r="D8" s="151">
        <v>27600</v>
      </c>
      <c r="E8" s="151">
        <v>22800</v>
      </c>
      <c r="F8" s="151">
        <v>25300</v>
      </c>
      <c r="G8" s="151">
        <v>21800</v>
      </c>
      <c r="H8" s="151">
        <v>23700</v>
      </c>
      <c r="I8" s="151">
        <v>19000</v>
      </c>
      <c r="J8" s="151">
        <v>20300</v>
      </c>
      <c r="K8" s="151">
        <v>23900</v>
      </c>
    </row>
    <row r="9" spans="1:11" x14ac:dyDescent="0.2">
      <c r="A9" s="153">
        <v>1970</v>
      </c>
      <c r="B9" s="151">
        <v>23400</v>
      </c>
      <c r="C9" s="151">
        <v>30300</v>
      </c>
      <c r="D9" s="151">
        <v>24400</v>
      </c>
      <c r="E9" s="151">
        <v>20300</v>
      </c>
      <c r="F9" s="151">
        <v>24000</v>
      </c>
      <c r="G9" s="151">
        <v>23000</v>
      </c>
      <c r="H9" s="151">
        <v>25200</v>
      </c>
      <c r="I9" s="151">
        <v>20100</v>
      </c>
      <c r="J9" s="151">
        <v>22200</v>
      </c>
      <c r="K9" s="151">
        <v>24300</v>
      </c>
    </row>
    <row r="10" spans="1:11" x14ac:dyDescent="0.2">
      <c r="A10" s="153">
        <v>1971</v>
      </c>
      <c r="B10" s="151">
        <v>25200</v>
      </c>
      <c r="C10" s="151">
        <v>30600</v>
      </c>
      <c r="D10" s="151">
        <v>27200</v>
      </c>
      <c r="E10" s="151">
        <v>22500</v>
      </c>
      <c r="F10" s="151">
        <v>25500</v>
      </c>
      <c r="G10" s="151">
        <v>24800</v>
      </c>
      <c r="H10" s="151">
        <v>27100</v>
      </c>
      <c r="I10" s="151">
        <v>22100</v>
      </c>
      <c r="J10" s="151">
        <v>24300</v>
      </c>
      <c r="K10" s="151">
        <v>26500</v>
      </c>
    </row>
    <row r="11" spans="1:11" x14ac:dyDescent="0.2">
      <c r="A11" s="153">
        <v>1972</v>
      </c>
      <c r="B11" s="151">
        <v>27600</v>
      </c>
      <c r="C11" s="151">
        <v>31400</v>
      </c>
      <c r="D11" s="151">
        <v>29300</v>
      </c>
      <c r="E11" s="151">
        <v>25800</v>
      </c>
      <c r="F11" s="151">
        <v>27500</v>
      </c>
      <c r="G11" s="151">
        <v>26700</v>
      </c>
      <c r="H11" s="151">
        <v>29800</v>
      </c>
      <c r="I11" s="151">
        <v>23900</v>
      </c>
      <c r="J11" s="151">
        <v>26400</v>
      </c>
      <c r="K11" s="151">
        <v>28400</v>
      </c>
    </row>
    <row r="12" spans="1:11" x14ac:dyDescent="0.2">
      <c r="A12" s="153">
        <v>1973</v>
      </c>
      <c r="B12" s="151">
        <v>32500</v>
      </c>
      <c r="C12" s="151">
        <v>37100</v>
      </c>
      <c r="D12" s="151">
        <v>32900</v>
      </c>
      <c r="E12" s="151">
        <v>30900</v>
      </c>
      <c r="F12" s="151">
        <v>32400</v>
      </c>
      <c r="G12" s="151">
        <v>28900</v>
      </c>
      <c r="H12" s="151">
        <v>32800</v>
      </c>
      <c r="I12" s="151">
        <v>25300</v>
      </c>
      <c r="J12" s="151">
        <v>29000</v>
      </c>
      <c r="K12" s="151">
        <v>31000</v>
      </c>
    </row>
    <row r="13" spans="1:11" x14ac:dyDescent="0.2">
      <c r="A13" s="153">
        <v>1974</v>
      </c>
      <c r="B13" s="151">
        <v>35900</v>
      </c>
      <c r="C13" s="151">
        <v>40100</v>
      </c>
      <c r="D13" s="151">
        <v>36100</v>
      </c>
      <c r="E13" s="151">
        <v>34500</v>
      </c>
      <c r="F13" s="151">
        <v>35800</v>
      </c>
      <c r="G13" s="151">
        <v>32000</v>
      </c>
      <c r="H13" s="151">
        <v>35800</v>
      </c>
      <c r="I13" s="151">
        <v>27700</v>
      </c>
      <c r="J13" s="151">
        <v>32300</v>
      </c>
      <c r="K13" s="151">
        <v>34800</v>
      </c>
    </row>
    <row r="14" spans="1:11" x14ac:dyDescent="0.2">
      <c r="A14" s="153">
        <v>1975</v>
      </c>
      <c r="B14" s="151">
        <v>39300</v>
      </c>
      <c r="C14" s="151">
        <v>44000</v>
      </c>
      <c r="D14" s="151">
        <v>39600</v>
      </c>
      <c r="E14" s="151">
        <v>37300</v>
      </c>
      <c r="F14" s="151">
        <v>40600</v>
      </c>
      <c r="G14" s="151">
        <v>35300</v>
      </c>
      <c r="H14" s="151">
        <v>39300</v>
      </c>
      <c r="I14" s="151">
        <v>30100</v>
      </c>
      <c r="J14" s="151">
        <v>34800</v>
      </c>
      <c r="K14" s="151">
        <v>39600</v>
      </c>
    </row>
    <row r="15" spans="1:11" x14ac:dyDescent="0.2">
      <c r="A15" s="153">
        <v>1976</v>
      </c>
      <c r="B15" s="151">
        <v>44200</v>
      </c>
      <c r="C15" s="151">
        <v>47300</v>
      </c>
      <c r="D15" s="151">
        <v>44800</v>
      </c>
      <c r="E15" s="151">
        <v>40500</v>
      </c>
      <c r="F15" s="151">
        <v>47200</v>
      </c>
      <c r="G15" s="151">
        <v>38100</v>
      </c>
      <c r="H15" s="151">
        <v>41800</v>
      </c>
      <c r="I15" s="151">
        <v>32900</v>
      </c>
      <c r="J15" s="151">
        <v>36500</v>
      </c>
      <c r="K15" s="151">
        <v>46100</v>
      </c>
    </row>
    <row r="16" spans="1:11" x14ac:dyDescent="0.2">
      <c r="A16" s="153">
        <v>1977</v>
      </c>
      <c r="B16" s="151">
        <v>48800</v>
      </c>
      <c r="C16" s="151">
        <v>51600</v>
      </c>
      <c r="D16" s="151">
        <v>51500</v>
      </c>
      <c r="E16" s="151">
        <v>44100</v>
      </c>
      <c r="F16" s="151">
        <v>53500</v>
      </c>
      <c r="G16" s="151">
        <v>42900</v>
      </c>
      <c r="H16" s="151">
        <v>44000</v>
      </c>
      <c r="I16" s="151">
        <v>36700</v>
      </c>
      <c r="J16" s="151">
        <v>39800</v>
      </c>
      <c r="K16" s="151">
        <v>57300</v>
      </c>
    </row>
    <row r="17" spans="1:11" x14ac:dyDescent="0.2">
      <c r="A17" s="153">
        <v>1978</v>
      </c>
      <c r="B17" s="151">
        <v>55700</v>
      </c>
      <c r="C17" s="151">
        <v>58100</v>
      </c>
      <c r="D17" s="151">
        <v>59200</v>
      </c>
      <c r="E17" s="151">
        <v>50300</v>
      </c>
      <c r="F17" s="151">
        <v>61300</v>
      </c>
      <c r="G17" s="151">
        <v>48700</v>
      </c>
      <c r="H17" s="151">
        <v>47900</v>
      </c>
      <c r="I17" s="151">
        <v>42200</v>
      </c>
      <c r="J17" s="151">
        <v>45100</v>
      </c>
      <c r="K17" s="151">
        <v>66700</v>
      </c>
    </row>
    <row r="18" spans="1:11" x14ac:dyDescent="0.2">
      <c r="A18" s="153">
        <v>1979</v>
      </c>
      <c r="B18" s="151">
        <v>62900</v>
      </c>
      <c r="C18" s="151">
        <v>65500</v>
      </c>
      <c r="D18" s="151">
        <v>63900</v>
      </c>
      <c r="E18" s="151">
        <v>57300</v>
      </c>
      <c r="F18" s="151">
        <v>69600</v>
      </c>
      <c r="G18" s="151">
        <v>55700</v>
      </c>
      <c r="H18" s="151">
        <v>53600</v>
      </c>
      <c r="I18" s="151">
        <v>47800</v>
      </c>
      <c r="J18" s="151">
        <v>51300</v>
      </c>
      <c r="K18" s="151">
        <v>77400</v>
      </c>
    </row>
    <row r="19" spans="1:11" x14ac:dyDescent="0.2">
      <c r="A19" s="153">
        <v>1980</v>
      </c>
      <c r="B19" s="151">
        <v>64600</v>
      </c>
      <c r="C19" s="151">
        <v>69500</v>
      </c>
      <c r="D19" s="151">
        <v>63400</v>
      </c>
      <c r="E19" s="151">
        <v>59600</v>
      </c>
      <c r="F19" s="151">
        <v>72300</v>
      </c>
      <c r="G19" s="151">
        <v>62200</v>
      </c>
      <c r="H19" s="151">
        <v>60800</v>
      </c>
      <c r="I19" s="151">
        <v>51900</v>
      </c>
      <c r="J19" s="151">
        <v>58300</v>
      </c>
      <c r="K19" s="151">
        <v>89300</v>
      </c>
    </row>
    <row r="20" spans="1:11" x14ac:dyDescent="0.2">
      <c r="A20" s="153">
        <v>1981</v>
      </c>
      <c r="B20" s="151">
        <v>68900</v>
      </c>
      <c r="C20" s="151">
        <v>76000</v>
      </c>
      <c r="D20" s="151">
        <v>65900</v>
      </c>
      <c r="E20" s="151">
        <v>64400</v>
      </c>
      <c r="F20" s="151">
        <v>77800</v>
      </c>
      <c r="G20" s="151">
        <v>66400</v>
      </c>
      <c r="H20" s="151">
        <v>63700</v>
      </c>
      <c r="I20" s="151">
        <v>54300</v>
      </c>
      <c r="J20" s="151">
        <v>64400</v>
      </c>
      <c r="K20" s="151">
        <v>96200</v>
      </c>
    </row>
    <row r="21" spans="1:11" x14ac:dyDescent="0.2">
      <c r="A21" s="153">
        <v>1982</v>
      </c>
      <c r="B21" s="151">
        <v>69300</v>
      </c>
      <c r="C21" s="151">
        <v>78200</v>
      </c>
      <c r="D21" s="151">
        <v>68900</v>
      </c>
      <c r="E21" s="151">
        <v>66100</v>
      </c>
      <c r="F21" s="151">
        <v>75000</v>
      </c>
      <c r="G21" s="151">
        <v>67800</v>
      </c>
      <c r="H21" s="151">
        <v>63500</v>
      </c>
      <c r="I21" s="151">
        <v>55100</v>
      </c>
      <c r="J21" s="151">
        <v>67100</v>
      </c>
      <c r="K21" s="151">
        <v>98900</v>
      </c>
    </row>
    <row r="22" spans="1:11" x14ac:dyDescent="0.2">
      <c r="A22" s="153">
        <v>1983</v>
      </c>
      <c r="B22" s="151">
        <v>75300</v>
      </c>
      <c r="C22" s="151">
        <v>82200</v>
      </c>
      <c r="D22" s="151">
        <v>79500</v>
      </c>
      <c r="E22" s="151">
        <v>70900</v>
      </c>
      <c r="F22" s="151">
        <v>80100</v>
      </c>
      <c r="G22" s="151">
        <v>70300</v>
      </c>
      <c r="H22" s="151">
        <v>72200</v>
      </c>
      <c r="I22" s="151">
        <v>56600</v>
      </c>
      <c r="J22" s="151">
        <v>69200</v>
      </c>
      <c r="K22" s="151">
        <v>94900</v>
      </c>
    </row>
    <row r="23" spans="1:11" x14ac:dyDescent="0.2">
      <c r="A23" s="153">
        <v>1984</v>
      </c>
      <c r="B23" s="151">
        <v>79900</v>
      </c>
      <c r="C23" s="151">
        <v>88600</v>
      </c>
      <c r="D23" s="151">
        <v>85400</v>
      </c>
      <c r="E23" s="151">
        <v>72000</v>
      </c>
      <c r="F23" s="151">
        <v>87300</v>
      </c>
      <c r="G23" s="151">
        <v>72400</v>
      </c>
      <c r="H23" s="151">
        <v>78700</v>
      </c>
      <c r="I23" s="151">
        <v>57100</v>
      </c>
      <c r="J23" s="151">
        <v>71300</v>
      </c>
      <c r="K23" s="151">
        <v>95800</v>
      </c>
    </row>
    <row r="24" spans="1:11" x14ac:dyDescent="0.2">
      <c r="A24" s="153">
        <v>1985</v>
      </c>
      <c r="B24" s="151">
        <v>84300</v>
      </c>
      <c r="C24" s="151">
        <v>103300</v>
      </c>
      <c r="D24" s="151">
        <v>80300</v>
      </c>
      <c r="E24" s="151">
        <v>75000</v>
      </c>
      <c r="F24" s="151">
        <v>92600</v>
      </c>
      <c r="G24" s="151">
        <v>75500</v>
      </c>
      <c r="H24" s="151">
        <v>88900</v>
      </c>
      <c r="I24" s="151">
        <v>58900</v>
      </c>
      <c r="J24" s="151">
        <v>75200</v>
      </c>
      <c r="K24" s="151">
        <v>95400</v>
      </c>
    </row>
    <row r="25" spans="1:11" x14ac:dyDescent="0.2">
      <c r="A25" s="153">
        <v>1986</v>
      </c>
      <c r="B25" s="151">
        <v>92000</v>
      </c>
      <c r="C25" s="151">
        <v>125000</v>
      </c>
      <c r="D25" s="151">
        <v>88300</v>
      </c>
      <c r="E25" s="151">
        <v>80200</v>
      </c>
      <c r="F25" s="151">
        <v>95700</v>
      </c>
      <c r="G25" s="151">
        <v>80300</v>
      </c>
      <c r="H25" s="151">
        <v>104800</v>
      </c>
      <c r="I25" s="151">
        <v>63500</v>
      </c>
      <c r="J25" s="151">
        <v>78200</v>
      </c>
      <c r="K25" s="151">
        <v>100900</v>
      </c>
    </row>
    <row r="26" spans="1:11" x14ac:dyDescent="0.2">
      <c r="A26" s="153">
        <v>1987</v>
      </c>
      <c r="B26" s="151">
        <v>104500</v>
      </c>
      <c r="C26" s="151">
        <v>140000</v>
      </c>
      <c r="D26" s="151">
        <v>95000</v>
      </c>
      <c r="E26" s="151">
        <v>88000</v>
      </c>
      <c r="F26" s="151">
        <v>111000</v>
      </c>
      <c r="G26" s="151">
        <v>85600</v>
      </c>
      <c r="H26" s="151">
        <v>133300</v>
      </c>
      <c r="I26" s="151">
        <v>66000</v>
      </c>
      <c r="J26" s="151">
        <v>80400</v>
      </c>
      <c r="K26" s="151">
        <v>113200</v>
      </c>
    </row>
    <row r="27" spans="1:11" x14ac:dyDescent="0.2">
      <c r="A27" s="153">
        <v>1988</v>
      </c>
      <c r="B27" s="151">
        <v>112500</v>
      </c>
      <c r="C27" s="151">
        <v>149000</v>
      </c>
      <c r="D27" s="151">
        <v>101600</v>
      </c>
      <c r="E27" s="151">
        <v>92000</v>
      </c>
      <c r="F27" s="151">
        <v>126500</v>
      </c>
      <c r="G27" s="151">
        <v>89300</v>
      </c>
      <c r="H27" s="151">
        <v>143000</v>
      </c>
      <c r="I27" s="151">
        <v>68400</v>
      </c>
      <c r="J27" s="151">
        <v>82200</v>
      </c>
      <c r="K27" s="151">
        <v>124900</v>
      </c>
    </row>
    <row r="28" spans="1:11" x14ac:dyDescent="0.2">
      <c r="A28" s="153">
        <v>1989</v>
      </c>
      <c r="B28" s="151">
        <v>120000</v>
      </c>
      <c r="C28" s="151">
        <v>159600</v>
      </c>
      <c r="D28" s="151">
        <v>108800</v>
      </c>
      <c r="E28" s="151">
        <v>96400</v>
      </c>
      <c r="F28" s="151">
        <v>139000</v>
      </c>
      <c r="G28" s="151">
        <v>94000</v>
      </c>
      <c r="H28" s="151">
        <v>142100</v>
      </c>
      <c r="I28" s="151">
        <v>72600</v>
      </c>
      <c r="J28" s="151">
        <v>84300</v>
      </c>
      <c r="K28" s="151">
        <v>137600</v>
      </c>
    </row>
    <row r="29" spans="1:11" x14ac:dyDescent="0.2">
      <c r="A29" s="153">
        <v>1990</v>
      </c>
      <c r="B29" s="151">
        <v>122900</v>
      </c>
      <c r="C29" s="151">
        <v>159000</v>
      </c>
      <c r="D29" s="151">
        <v>107900</v>
      </c>
      <c r="E29" s="151">
        <v>99000</v>
      </c>
      <c r="F29" s="151">
        <v>147500</v>
      </c>
      <c r="G29" s="151">
        <v>96400</v>
      </c>
      <c r="H29" s="151">
        <v>141400</v>
      </c>
      <c r="I29" s="151">
        <v>76300</v>
      </c>
      <c r="J29" s="151">
        <v>84700</v>
      </c>
      <c r="K29" s="151">
        <v>138600</v>
      </c>
    </row>
    <row r="30" spans="1:11" x14ac:dyDescent="0.2">
      <c r="A30" s="153">
        <v>1991</v>
      </c>
      <c r="B30" s="151">
        <v>120000</v>
      </c>
      <c r="C30" s="151">
        <v>155900</v>
      </c>
      <c r="D30" s="151">
        <v>110000</v>
      </c>
      <c r="E30" s="151">
        <v>100000</v>
      </c>
      <c r="F30" s="151">
        <v>141100</v>
      </c>
      <c r="G30" s="151">
        <v>101400</v>
      </c>
      <c r="H30" s="151">
        <v>143600</v>
      </c>
      <c r="I30" s="151">
        <v>80500</v>
      </c>
      <c r="J30" s="151">
        <v>88100</v>
      </c>
      <c r="K30" s="151">
        <v>144500</v>
      </c>
    </row>
    <row r="31" spans="1:11" x14ac:dyDescent="0.2">
      <c r="A31" s="153">
        <v>1992</v>
      </c>
      <c r="B31" s="151">
        <v>121500</v>
      </c>
      <c r="C31" s="151">
        <v>169000</v>
      </c>
      <c r="D31" s="151">
        <v>115600</v>
      </c>
      <c r="E31" s="151">
        <v>105500</v>
      </c>
      <c r="F31" s="151">
        <v>130400</v>
      </c>
      <c r="G31" s="151">
        <v>104000</v>
      </c>
      <c r="H31" s="151">
        <v>142600</v>
      </c>
      <c r="I31" s="151">
        <v>84200</v>
      </c>
      <c r="J31" s="151">
        <v>91100</v>
      </c>
      <c r="K31" s="151">
        <v>141100</v>
      </c>
    </row>
    <row r="32" spans="1:11" x14ac:dyDescent="0.2">
      <c r="A32" s="153">
        <v>1993</v>
      </c>
      <c r="B32" s="151">
        <v>126500</v>
      </c>
      <c r="C32" s="151">
        <v>162600</v>
      </c>
      <c r="D32" s="151">
        <v>125000</v>
      </c>
      <c r="E32" s="151">
        <v>115000</v>
      </c>
      <c r="F32" s="151">
        <v>135000</v>
      </c>
      <c r="G32" s="151">
        <v>107200</v>
      </c>
      <c r="H32" s="151">
        <v>142000</v>
      </c>
      <c r="I32" s="151">
        <v>87000</v>
      </c>
      <c r="J32" s="151">
        <v>93700</v>
      </c>
      <c r="K32" s="151">
        <v>141800</v>
      </c>
    </row>
    <row r="33" spans="1:16" x14ac:dyDescent="0.2">
      <c r="A33" s="153">
        <v>1994</v>
      </c>
      <c r="B33" s="151">
        <v>130000</v>
      </c>
      <c r="C33" s="151">
        <v>169000</v>
      </c>
      <c r="D33" s="151">
        <v>132900</v>
      </c>
      <c r="E33" s="151">
        <v>116900</v>
      </c>
      <c r="F33" s="151">
        <v>140400</v>
      </c>
      <c r="G33" s="151">
        <v>111300</v>
      </c>
      <c r="H33" s="151">
        <v>141500</v>
      </c>
      <c r="I33" s="151">
        <v>90600</v>
      </c>
      <c r="J33" s="151">
        <v>94900</v>
      </c>
      <c r="K33" s="151">
        <v>149200</v>
      </c>
    </row>
    <row r="34" spans="1:16" x14ac:dyDescent="0.2">
      <c r="A34" s="153">
        <v>1995</v>
      </c>
      <c r="B34" s="151">
        <v>133900</v>
      </c>
      <c r="C34" s="151">
        <v>180000</v>
      </c>
      <c r="D34" s="151">
        <v>134000</v>
      </c>
      <c r="E34" s="151">
        <v>124500</v>
      </c>
      <c r="F34" s="151">
        <v>141000</v>
      </c>
      <c r="G34" s="151">
        <v>114600</v>
      </c>
      <c r="H34" s="151">
        <v>138400</v>
      </c>
      <c r="I34" s="151">
        <v>96100</v>
      </c>
      <c r="J34" s="151">
        <v>96900</v>
      </c>
      <c r="K34" s="151">
        <v>150600</v>
      </c>
    </row>
    <row r="35" spans="1:16" x14ac:dyDescent="0.2">
      <c r="A35" s="153">
        <v>1996</v>
      </c>
      <c r="B35" s="151">
        <v>140000</v>
      </c>
      <c r="C35" s="151">
        <v>186900</v>
      </c>
      <c r="D35" s="151">
        <v>137500</v>
      </c>
      <c r="E35" s="151">
        <v>125000</v>
      </c>
      <c r="F35" s="151">
        <v>153900</v>
      </c>
      <c r="G35" s="151">
        <v>119900</v>
      </c>
      <c r="H35" s="151">
        <v>139600</v>
      </c>
      <c r="I35" s="151">
        <v>102300</v>
      </c>
      <c r="J35" s="151">
        <v>102400</v>
      </c>
      <c r="K35" s="151">
        <v>157100</v>
      </c>
    </row>
    <row r="36" spans="1:16" x14ac:dyDescent="0.2">
      <c r="A36" s="153">
        <v>1997</v>
      </c>
      <c r="B36" s="151">
        <v>146000</v>
      </c>
      <c r="C36" s="151">
        <v>190000</v>
      </c>
      <c r="D36" s="151">
        <v>149900</v>
      </c>
      <c r="E36" s="151">
        <v>129600</v>
      </c>
      <c r="F36" s="151">
        <v>160000</v>
      </c>
      <c r="G36" s="151">
        <v>126000</v>
      </c>
      <c r="H36" s="151">
        <v>143500</v>
      </c>
      <c r="I36" s="151">
        <v>108200</v>
      </c>
      <c r="J36" s="151">
        <v>108400</v>
      </c>
      <c r="K36" s="151">
        <v>165700</v>
      </c>
    </row>
    <row r="37" spans="1:16" x14ac:dyDescent="0.2">
      <c r="A37" s="153">
        <v>1998</v>
      </c>
      <c r="B37" s="151">
        <v>152500</v>
      </c>
      <c r="C37" s="151">
        <v>200000</v>
      </c>
      <c r="D37" s="151">
        <v>157500</v>
      </c>
      <c r="E37" s="151">
        <v>135800</v>
      </c>
      <c r="F37" s="151">
        <v>163500</v>
      </c>
      <c r="G37" s="151">
        <v>132800</v>
      </c>
      <c r="H37" s="151">
        <v>147300</v>
      </c>
      <c r="I37" s="151">
        <v>115600</v>
      </c>
      <c r="J37" s="151">
        <v>115000</v>
      </c>
      <c r="K37" s="151">
        <v>175900</v>
      </c>
    </row>
    <row r="38" spans="1:16" x14ac:dyDescent="0.2">
      <c r="A38" s="153">
        <v>1999</v>
      </c>
      <c r="B38" s="151">
        <v>161000</v>
      </c>
      <c r="C38" s="151">
        <v>210500</v>
      </c>
      <c r="D38" s="151">
        <v>164000</v>
      </c>
      <c r="E38" s="151">
        <v>145900</v>
      </c>
      <c r="F38" s="151">
        <v>173700</v>
      </c>
      <c r="G38" s="151">
        <v>138000</v>
      </c>
      <c r="H38" s="151">
        <v>150500</v>
      </c>
      <c r="I38" s="151">
        <v>121000</v>
      </c>
      <c r="J38" s="151">
        <v>118900</v>
      </c>
      <c r="K38" s="151">
        <v>185300</v>
      </c>
    </row>
    <row r="39" spans="1:16" x14ac:dyDescent="0.2">
      <c r="A39" s="153">
        <v>2000</v>
      </c>
      <c r="B39" s="151">
        <v>169000</v>
      </c>
      <c r="C39" s="151">
        <v>227400</v>
      </c>
      <c r="D39" s="151">
        <v>169700</v>
      </c>
      <c r="E39" s="151">
        <v>148000</v>
      </c>
      <c r="F39" s="151">
        <v>196400</v>
      </c>
      <c r="G39" s="151">
        <v>143600</v>
      </c>
      <c r="H39" s="151">
        <v>149800</v>
      </c>
      <c r="I39" s="151">
        <v>125300</v>
      </c>
      <c r="J39" s="151">
        <v>126300</v>
      </c>
      <c r="K39" s="151">
        <v>194600</v>
      </c>
    </row>
    <row r="40" spans="1:16" x14ac:dyDescent="0.2">
      <c r="A40" s="153">
        <v>2001</v>
      </c>
      <c r="B40" s="151">
        <v>175200</v>
      </c>
      <c r="C40" s="151">
        <v>246400</v>
      </c>
      <c r="D40" s="151">
        <v>172600</v>
      </c>
      <c r="E40" s="151">
        <v>155400</v>
      </c>
      <c r="F40" s="151">
        <v>213600</v>
      </c>
      <c r="G40" s="151">
        <v>153100</v>
      </c>
      <c r="H40" s="151">
        <v>158700</v>
      </c>
      <c r="I40" s="151">
        <v>132500</v>
      </c>
      <c r="J40" s="151">
        <v>135500</v>
      </c>
      <c r="K40" s="151">
        <v>207000</v>
      </c>
    </row>
    <row r="41" spans="1:16" x14ac:dyDescent="0.2">
      <c r="A41" s="153">
        <v>2002</v>
      </c>
      <c r="B41" s="151">
        <v>187600</v>
      </c>
      <c r="C41" s="151">
        <v>264300</v>
      </c>
      <c r="D41" s="151">
        <v>178000</v>
      </c>
      <c r="E41" s="151">
        <v>163400</v>
      </c>
      <c r="F41" s="151">
        <v>238500</v>
      </c>
      <c r="G41" s="151">
        <v>165000</v>
      </c>
      <c r="H41" s="151">
        <v>179300</v>
      </c>
      <c r="I41" s="151">
        <v>139300</v>
      </c>
      <c r="J41" s="151">
        <v>146000</v>
      </c>
      <c r="K41" s="151">
        <v>230100</v>
      </c>
    </row>
    <row r="42" spans="1:16" x14ac:dyDescent="0.2">
      <c r="A42" s="153">
        <v>2003</v>
      </c>
      <c r="B42" s="151">
        <v>195000</v>
      </c>
      <c r="C42" s="151">
        <v>264500</v>
      </c>
      <c r="D42" s="151">
        <v>184300</v>
      </c>
      <c r="E42" s="151">
        <v>168100</v>
      </c>
      <c r="F42" s="151">
        <v>260900</v>
      </c>
      <c r="G42" s="151">
        <v>178800</v>
      </c>
      <c r="H42" s="151">
        <v>209900</v>
      </c>
      <c r="I42" s="151">
        <v>145600</v>
      </c>
      <c r="J42" s="151">
        <v>156700</v>
      </c>
      <c r="K42" s="151">
        <v>251800</v>
      </c>
    </row>
    <row r="43" spans="1:16" x14ac:dyDescent="0.2">
      <c r="A43" s="153">
        <v>2004</v>
      </c>
      <c r="B43" s="151">
        <v>221000</v>
      </c>
      <c r="C43" s="151">
        <v>315800</v>
      </c>
      <c r="D43" s="151">
        <v>205000</v>
      </c>
      <c r="E43" s="151">
        <v>181100</v>
      </c>
      <c r="F43" s="151">
        <v>283100</v>
      </c>
      <c r="G43" s="151">
        <v>195400</v>
      </c>
      <c r="H43" s="151">
        <v>243800</v>
      </c>
      <c r="I43" s="151">
        <v>154600</v>
      </c>
      <c r="J43" s="151">
        <v>170400</v>
      </c>
      <c r="K43" s="151">
        <v>286400</v>
      </c>
    </row>
    <row r="44" spans="1:16" x14ac:dyDescent="0.2">
      <c r="A44" s="153">
        <v>2005</v>
      </c>
      <c r="B44" s="151">
        <v>240900</v>
      </c>
      <c r="C44" s="151">
        <v>343800</v>
      </c>
      <c r="D44" s="151">
        <v>216900</v>
      </c>
      <c r="E44" s="151">
        <v>197300</v>
      </c>
      <c r="F44" s="151">
        <v>332600</v>
      </c>
      <c r="G44" s="151">
        <v>219600</v>
      </c>
      <c r="H44" s="151">
        <v>271300</v>
      </c>
      <c r="I44" s="151">
        <v>170600</v>
      </c>
      <c r="J44" s="151">
        <v>181700</v>
      </c>
      <c r="K44" s="151">
        <v>335300</v>
      </c>
    </row>
    <row r="45" spans="1:16" x14ac:dyDescent="0.2">
      <c r="A45" s="153">
        <v>2006</v>
      </c>
      <c r="B45" s="151">
        <v>246500</v>
      </c>
      <c r="C45" s="151">
        <v>346000</v>
      </c>
      <c r="D45" s="151">
        <v>213500</v>
      </c>
      <c r="E45" s="151">
        <v>208200</v>
      </c>
      <c r="F45" s="151">
        <v>337700</v>
      </c>
      <c r="G45" s="151">
        <v>221900</v>
      </c>
      <c r="H45" s="151">
        <v>271900</v>
      </c>
      <c r="I45" s="151">
        <v>167800</v>
      </c>
      <c r="J45" s="151">
        <v>183700</v>
      </c>
      <c r="K45" s="151">
        <v>342700</v>
      </c>
    </row>
    <row r="46" spans="1:16" x14ac:dyDescent="0.2">
      <c r="A46" s="153">
        <v>2007</v>
      </c>
      <c r="B46" s="151">
        <v>247900</v>
      </c>
      <c r="C46" s="151">
        <v>320200</v>
      </c>
      <c r="D46" s="151">
        <v>208600</v>
      </c>
      <c r="E46" s="151">
        <v>217700</v>
      </c>
      <c r="F46" s="151">
        <v>330900</v>
      </c>
      <c r="G46" s="151">
        <v>219000</v>
      </c>
      <c r="H46" s="151">
        <v>279100</v>
      </c>
      <c r="I46" s="151">
        <v>165100</v>
      </c>
      <c r="J46" s="151">
        <v>179300</v>
      </c>
      <c r="K46" s="151">
        <v>335000</v>
      </c>
    </row>
    <row r="47" spans="1:16" x14ac:dyDescent="0.2">
      <c r="A47" s="153">
        <v>2008</v>
      </c>
      <c r="B47" s="151">
        <v>232100</v>
      </c>
      <c r="C47" s="151">
        <v>343600</v>
      </c>
      <c r="D47" s="151">
        <v>198900</v>
      </c>
      <c r="E47" s="151">
        <v>203700</v>
      </c>
      <c r="F47" s="151">
        <v>294800</v>
      </c>
      <c r="G47" s="151">
        <v>198100</v>
      </c>
      <c r="H47" s="151">
        <v>266400</v>
      </c>
      <c r="I47" s="151">
        <v>154100</v>
      </c>
      <c r="J47" s="151">
        <v>169200</v>
      </c>
      <c r="K47" s="151">
        <v>271500</v>
      </c>
    </row>
    <row r="48" spans="1:16" x14ac:dyDescent="0.2">
      <c r="A48" s="153">
        <v>2009</v>
      </c>
      <c r="B48" s="151">
        <v>216700</v>
      </c>
      <c r="C48" s="151">
        <v>302500</v>
      </c>
      <c r="D48" s="151">
        <v>189200</v>
      </c>
      <c r="E48" s="151">
        <v>194800</v>
      </c>
      <c r="F48" s="151">
        <v>263700</v>
      </c>
      <c r="G48" s="151">
        <v>172500</v>
      </c>
      <c r="H48" s="151">
        <v>240500</v>
      </c>
      <c r="I48" s="151">
        <v>144100</v>
      </c>
      <c r="J48" s="151">
        <v>153000</v>
      </c>
      <c r="K48" s="151">
        <v>211100</v>
      </c>
      <c r="M48" s="154"/>
      <c r="N48" s="155"/>
      <c r="O48" s="155"/>
      <c r="P48" s="155"/>
    </row>
    <row r="49" spans="1:16" x14ac:dyDescent="0.2">
      <c r="A49" s="153">
        <v>2010</v>
      </c>
      <c r="B49" s="151">
        <v>221800</v>
      </c>
      <c r="C49" s="151">
        <v>329900</v>
      </c>
      <c r="D49" s="151">
        <v>197700</v>
      </c>
      <c r="E49" s="151">
        <v>196800</v>
      </c>
      <c r="F49" s="151">
        <v>259300</v>
      </c>
      <c r="G49" s="151">
        <v>172900</v>
      </c>
      <c r="H49" s="151">
        <v>243500</v>
      </c>
      <c r="I49" s="151">
        <v>141600</v>
      </c>
      <c r="J49" s="151">
        <v>150100</v>
      </c>
      <c r="K49" s="151">
        <v>214800</v>
      </c>
    </row>
    <row r="50" spans="1:16" x14ac:dyDescent="0.2">
      <c r="A50" s="153">
        <v>2011</v>
      </c>
      <c r="B50" s="151">
        <v>227200</v>
      </c>
      <c r="C50" s="151">
        <v>322800</v>
      </c>
      <c r="D50" s="151">
        <v>203300</v>
      </c>
      <c r="E50" s="151">
        <v>211400</v>
      </c>
      <c r="F50" s="151">
        <v>256000</v>
      </c>
      <c r="G50" s="151">
        <v>166100</v>
      </c>
      <c r="H50" s="151">
        <v>237500</v>
      </c>
      <c r="I50" s="151">
        <v>135400</v>
      </c>
      <c r="J50" s="151">
        <v>144200</v>
      </c>
      <c r="K50" s="151">
        <v>201300</v>
      </c>
      <c r="M50" s="154"/>
      <c r="N50" s="155"/>
      <c r="O50" s="155"/>
      <c r="P50" s="155"/>
    </row>
    <row r="51" spans="1:16" x14ac:dyDescent="0.2">
      <c r="A51" s="153">
        <v>2012</v>
      </c>
      <c r="B51" s="151">
        <v>245200</v>
      </c>
      <c r="C51" s="151">
        <v>368800</v>
      </c>
      <c r="D51" s="151">
        <v>230600</v>
      </c>
      <c r="E51" s="151">
        <v>227000</v>
      </c>
      <c r="F51" s="151">
        <v>270000</v>
      </c>
      <c r="G51" s="151">
        <v>176800</v>
      </c>
      <c r="H51" s="151">
        <v>237700</v>
      </c>
      <c r="I51" s="151">
        <v>142700</v>
      </c>
      <c r="J51" s="151">
        <v>154000</v>
      </c>
      <c r="K51" s="151">
        <v>230100</v>
      </c>
    </row>
    <row r="52" spans="1:16" x14ac:dyDescent="0.2">
      <c r="A52" s="153">
        <v>2013</v>
      </c>
      <c r="B52" s="151">
        <v>268900</v>
      </c>
      <c r="C52" s="151">
        <v>371200</v>
      </c>
      <c r="D52" s="151">
        <v>255300</v>
      </c>
      <c r="E52" s="151">
        <v>246600</v>
      </c>
      <c r="F52" s="151">
        <v>310500</v>
      </c>
      <c r="G52" s="151">
        <v>197100</v>
      </c>
      <c r="H52" s="151">
        <v>249100</v>
      </c>
      <c r="I52" s="151">
        <v>154600</v>
      </c>
      <c r="J52" s="151">
        <v>170700</v>
      </c>
      <c r="K52" s="151">
        <v>273100</v>
      </c>
      <c r="M52" s="154"/>
      <c r="N52" s="155"/>
      <c r="O52" s="155"/>
    </row>
    <row r="53" spans="1:16" x14ac:dyDescent="0.2">
      <c r="A53" s="153">
        <v>2014</v>
      </c>
      <c r="B53" s="151">
        <v>288500</v>
      </c>
      <c r="C53" s="151">
        <v>398000</v>
      </c>
      <c r="D53" s="151">
        <v>273800</v>
      </c>
      <c r="E53" s="151">
        <v>264000</v>
      </c>
      <c r="F53" s="151">
        <v>339000</v>
      </c>
      <c r="G53" s="151">
        <v>208300</v>
      </c>
      <c r="H53" s="151">
        <v>252700</v>
      </c>
      <c r="I53" s="151">
        <v>163200</v>
      </c>
      <c r="J53" s="151">
        <v>179300</v>
      </c>
      <c r="K53" s="151">
        <v>291800</v>
      </c>
      <c r="M53" s="154"/>
      <c r="N53" s="155"/>
      <c r="O53" s="155"/>
    </row>
    <row r="54" spans="1:16" x14ac:dyDescent="0.2">
      <c r="A54" s="153">
        <v>2015</v>
      </c>
      <c r="B54" s="151">
        <v>294200</v>
      </c>
      <c r="C54" s="151">
        <v>442800</v>
      </c>
      <c r="D54" s="151">
        <v>276700</v>
      </c>
      <c r="E54" s="151">
        <v>271500</v>
      </c>
      <c r="F54" s="151">
        <v>348500</v>
      </c>
      <c r="G54" s="151">
        <v>222400</v>
      </c>
      <c r="H54" s="151">
        <v>260200</v>
      </c>
      <c r="I54" s="151">
        <v>174400</v>
      </c>
      <c r="J54" s="151">
        <v>192100</v>
      </c>
      <c r="K54" s="151">
        <v>316000</v>
      </c>
      <c r="M54" s="154"/>
      <c r="N54" s="155"/>
      <c r="O54" s="155"/>
    </row>
    <row r="55" spans="1:16" x14ac:dyDescent="0.2">
      <c r="A55" s="153">
        <v>2016</v>
      </c>
      <c r="B55" s="151">
        <v>307800</v>
      </c>
      <c r="C55" s="151">
        <v>428300</v>
      </c>
      <c r="D55" s="151">
        <v>277100</v>
      </c>
      <c r="E55" s="151">
        <v>281400</v>
      </c>
      <c r="F55" s="151">
        <v>367700</v>
      </c>
      <c r="G55" s="151">
        <v>233800</v>
      </c>
      <c r="H55" s="151">
        <v>263900</v>
      </c>
      <c r="I55" s="151">
        <v>183300</v>
      </c>
      <c r="J55" s="151">
        <v>204800</v>
      </c>
      <c r="K55" s="151">
        <v>340200</v>
      </c>
      <c r="M55" s="154"/>
      <c r="N55" s="155"/>
      <c r="O55" s="155"/>
    </row>
    <row r="56" spans="1:16" x14ac:dyDescent="0.2">
      <c r="A56" s="153">
        <v>2017</v>
      </c>
      <c r="B56" s="151">
        <v>323100</v>
      </c>
      <c r="C56" s="151">
        <v>490400</v>
      </c>
      <c r="D56" s="151">
        <v>284400</v>
      </c>
      <c r="E56" s="151">
        <v>291200</v>
      </c>
      <c r="F56" s="151">
        <v>390000</v>
      </c>
      <c r="G56" s="151">
        <v>247200</v>
      </c>
      <c r="H56" s="151">
        <v>275000</v>
      </c>
      <c r="I56" s="151">
        <v>194900</v>
      </c>
      <c r="J56" s="151">
        <v>218000</v>
      </c>
      <c r="K56" s="151">
        <v>366400</v>
      </c>
    </row>
    <row r="57" spans="1:16" x14ac:dyDescent="0.2">
      <c r="A57" s="153">
        <v>2018</v>
      </c>
      <c r="B57" s="151">
        <v>326400</v>
      </c>
      <c r="C57" s="151">
        <v>484600</v>
      </c>
      <c r="D57" s="151">
        <v>290900</v>
      </c>
      <c r="E57" s="151">
        <v>294600</v>
      </c>
      <c r="F57" s="151">
        <v>410600</v>
      </c>
      <c r="G57" s="151">
        <v>259300</v>
      </c>
      <c r="H57" s="151">
        <v>288500</v>
      </c>
      <c r="I57" s="151">
        <v>200200</v>
      </c>
      <c r="J57" s="151">
        <v>225900</v>
      </c>
      <c r="K57" s="151">
        <v>385200</v>
      </c>
    </row>
    <row r="58" spans="1:16" x14ac:dyDescent="0.2">
      <c r="A58" s="153">
        <v>2019</v>
      </c>
      <c r="B58" s="151">
        <v>321500</v>
      </c>
      <c r="C58" s="151">
        <v>482500</v>
      </c>
      <c r="D58" s="151">
        <v>289200</v>
      </c>
      <c r="E58" s="151">
        <v>289000</v>
      </c>
      <c r="F58" s="151">
        <v>408000</v>
      </c>
      <c r="G58" s="151">
        <v>271900</v>
      </c>
      <c r="H58" s="151">
        <v>300800</v>
      </c>
      <c r="I58" s="151">
        <v>212900</v>
      </c>
      <c r="J58" s="151">
        <v>236100</v>
      </c>
      <c r="K58" s="151">
        <v>400900</v>
      </c>
    </row>
    <row r="59" spans="1:16" x14ac:dyDescent="0.2">
      <c r="A59" s="153">
        <v>2020</v>
      </c>
      <c r="B59" s="151">
        <v>336900</v>
      </c>
      <c r="C59" s="151">
        <v>470700</v>
      </c>
      <c r="D59" s="151">
        <v>298100</v>
      </c>
      <c r="E59" s="151">
        <v>299000</v>
      </c>
      <c r="F59" s="151">
        <v>412600</v>
      </c>
      <c r="G59" s="151">
        <v>296700</v>
      </c>
      <c r="H59" s="151">
        <v>337900</v>
      </c>
      <c r="I59" s="151">
        <v>233200</v>
      </c>
      <c r="J59" s="151">
        <v>258800</v>
      </c>
      <c r="K59" s="151">
        <v>444800</v>
      </c>
    </row>
    <row r="60" spans="1:16" ht="14.25" customHeight="1" x14ac:dyDescent="0.2">
      <c r="A60" s="153">
        <v>2021</v>
      </c>
      <c r="B60" s="151">
        <v>383500</v>
      </c>
      <c r="C60" s="151">
        <v>572200</v>
      </c>
      <c r="D60" s="151">
        <v>334100</v>
      </c>
      <c r="E60" s="151">
        <v>336200</v>
      </c>
      <c r="F60" s="151">
        <v>509400</v>
      </c>
      <c r="G60" s="156">
        <v>350700</v>
      </c>
      <c r="H60" s="156">
        <v>386400</v>
      </c>
      <c r="I60" s="156">
        <v>260400</v>
      </c>
      <c r="J60" s="156">
        <v>309200</v>
      </c>
      <c r="K60" s="156">
        <v>545500</v>
      </c>
    </row>
    <row r="61" spans="1:16" x14ac:dyDescent="0.2">
      <c r="A61" s="153">
        <v>2022</v>
      </c>
      <c r="B61" s="152">
        <v>434500</v>
      </c>
      <c r="C61" s="151">
        <v>624500</v>
      </c>
      <c r="D61" s="151">
        <v>396200</v>
      </c>
      <c r="E61" s="151">
        <v>387800</v>
      </c>
      <c r="F61" s="151">
        <v>568200</v>
      </c>
      <c r="G61" s="152">
        <v>386400</v>
      </c>
      <c r="H61" s="151">
        <v>417400</v>
      </c>
      <c r="I61" s="151">
        <v>278800</v>
      </c>
      <c r="J61" s="151">
        <v>351500</v>
      </c>
      <c r="K61" s="151">
        <v>601700</v>
      </c>
    </row>
    <row r="62" spans="1:16" x14ac:dyDescent="0.2">
      <c r="A62" s="153">
        <v>2023</v>
      </c>
      <c r="B62" s="152">
        <v>428600</v>
      </c>
      <c r="C62" s="151">
        <v>760700</v>
      </c>
      <c r="D62" s="151">
        <v>396300</v>
      </c>
      <c r="E62" s="151">
        <v>388800</v>
      </c>
      <c r="F62" s="151">
        <v>536200</v>
      </c>
      <c r="G62" s="152">
        <v>389300</v>
      </c>
      <c r="H62" s="152">
        <v>436400</v>
      </c>
      <c r="I62" s="152">
        <v>287800</v>
      </c>
      <c r="J62" s="152">
        <v>355200</v>
      </c>
      <c r="K62" s="152">
        <v>588900</v>
      </c>
    </row>
    <row r="63" spans="1:16" x14ac:dyDescent="0.2">
      <c r="A63" s="151">
        <v>2024</v>
      </c>
      <c r="B63" s="152">
        <v>420300</v>
      </c>
      <c r="C63" s="151">
        <v>740300</v>
      </c>
      <c r="D63" s="151">
        <v>385900</v>
      </c>
      <c r="E63" s="151">
        <v>376200</v>
      </c>
      <c r="F63" s="151">
        <v>550900</v>
      </c>
      <c r="G63" s="151">
        <v>407600</v>
      </c>
      <c r="H63" s="151">
        <v>476100</v>
      </c>
      <c r="I63" s="151">
        <v>305100</v>
      </c>
      <c r="J63" s="151">
        <v>362900</v>
      </c>
      <c r="K63" s="151">
        <v>618300</v>
      </c>
    </row>
    <row r="64" spans="1:16" x14ac:dyDescent="0.2">
      <c r="A64" s="151">
        <v>2025</v>
      </c>
      <c r="B64" s="152">
        <v>415000</v>
      </c>
      <c r="C64" s="151">
        <v>761200</v>
      </c>
      <c r="D64" s="151">
        <v>384900</v>
      </c>
      <c r="E64" s="151">
        <v>371700</v>
      </c>
      <c r="F64" s="151">
        <v>539100</v>
      </c>
      <c r="G64" s="151">
        <v>414300</v>
      </c>
      <c r="H64" s="151">
        <v>506900</v>
      </c>
      <c r="I64" s="151">
        <v>318200</v>
      </c>
      <c r="J64" s="151">
        <v>363000</v>
      </c>
      <c r="K64" s="151">
        <v>615300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7"/>
  <sheetViews>
    <sheetView topLeftCell="A5" zoomScale="120" zoomScaleNormal="120" workbookViewId="0">
      <selection activeCell="G15" sqref="G15"/>
    </sheetView>
  </sheetViews>
  <sheetFormatPr defaultColWidth="9.28515625" defaultRowHeight="12.75" x14ac:dyDescent="0.2"/>
  <cols>
    <col min="1" max="1" width="9.42578125" style="12" bestFit="1" customWidth="1"/>
    <col min="2" max="3" width="9.5703125" style="12" customWidth="1"/>
    <col min="4" max="6" width="9.5703125" style="12" bestFit="1" customWidth="1"/>
    <col min="7" max="16384" width="9.28515625" style="12"/>
  </cols>
  <sheetData>
    <row r="1" spans="1:11" ht="17.25" customHeight="1" x14ac:dyDescent="0.2">
      <c r="A1" s="12" t="s">
        <v>6</v>
      </c>
      <c r="B1" s="22" t="s">
        <v>11</v>
      </c>
      <c r="C1" s="12" t="s">
        <v>12</v>
      </c>
      <c r="D1" s="12" t="s">
        <v>13</v>
      </c>
      <c r="E1" s="12" t="s">
        <v>14</v>
      </c>
      <c r="F1" s="12" t="s">
        <v>15</v>
      </c>
    </row>
    <row r="2" spans="1:11" s="13" customFormat="1" ht="18" customHeight="1" x14ac:dyDescent="0.2">
      <c r="A2" s="14">
        <v>45717</v>
      </c>
      <c r="B2" s="22">
        <v>403100</v>
      </c>
      <c r="C2" s="22">
        <v>468000</v>
      </c>
      <c r="D2" s="22">
        <v>300900</v>
      </c>
      <c r="E2" s="22">
        <v>359800</v>
      </c>
      <c r="F2" s="22">
        <v>621200</v>
      </c>
    </row>
    <row r="3" spans="1:11" s="13" customFormat="1" ht="18" customHeight="1" x14ac:dyDescent="0.2">
      <c r="A3" s="14">
        <v>45748</v>
      </c>
      <c r="B3" s="22">
        <v>414000</v>
      </c>
      <c r="C3" s="22">
        <v>487400</v>
      </c>
      <c r="D3" s="22">
        <v>313300</v>
      </c>
      <c r="E3" s="22">
        <v>365300</v>
      </c>
      <c r="F3" s="22">
        <v>628500</v>
      </c>
    </row>
    <row r="4" spans="1:11" s="13" customFormat="1" ht="18" customHeight="1" x14ac:dyDescent="0.2">
      <c r="A4" s="14">
        <v>45778</v>
      </c>
      <c r="B4" s="22">
        <v>423700</v>
      </c>
      <c r="C4" s="22">
        <v>513200</v>
      </c>
      <c r="D4" s="22">
        <v>327200</v>
      </c>
      <c r="E4" s="22">
        <v>369000</v>
      </c>
      <c r="F4" s="22">
        <v>630000</v>
      </c>
      <c r="K4" s="150"/>
    </row>
    <row r="5" spans="1:11" s="13" customFormat="1" ht="18" customHeight="1" x14ac:dyDescent="0.2">
      <c r="A5" s="14">
        <v>45809</v>
      </c>
      <c r="B5" s="22">
        <v>432700</v>
      </c>
      <c r="C5" s="22">
        <v>543400</v>
      </c>
      <c r="D5" s="22">
        <v>337600</v>
      </c>
      <c r="E5" s="22">
        <v>374200</v>
      </c>
      <c r="F5" s="22">
        <v>627700</v>
      </c>
      <c r="K5" s="150"/>
    </row>
    <row r="6" spans="1:11" s="13" customFormat="1" ht="18" customHeight="1" x14ac:dyDescent="0.2">
      <c r="A6" s="14">
        <v>45839</v>
      </c>
      <c r="B6" s="22">
        <v>425700</v>
      </c>
      <c r="C6" s="22">
        <v>535700</v>
      </c>
      <c r="D6" s="22">
        <v>333400</v>
      </c>
      <c r="E6" s="22">
        <v>368300</v>
      </c>
      <c r="F6" s="22">
        <v>620700</v>
      </c>
      <c r="K6" s="150"/>
    </row>
    <row r="7" spans="1:11" s="13" customFormat="1" ht="18" customHeight="1" x14ac:dyDescent="0.2">
      <c r="A7" s="14">
        <v>45870</v>
      </c>
      <c r="B7" s="22">
        <v>422400</v>
      </c>
      <c r="C7" s="22">
        <v>534100</v>
      </c>
      <c r="D7" s="22">
        <v>329500</v>
      </c>
      <c r="E7" s="22">
        <v>364100</v>
      </c>
      <c r="F7" s="22">
        <v>620300</v>
      </c>
      <c r="K7" s="150"/>
    </row>
    <row r="8" spans="1:11" s="13" customFormat="1" ht="18" customHeight="1" x14ac:dyDescent="0.2">
      <c r="A8" s="14">
        <v>45901</v>
      </c>
      <c r="B8" s="22">
        <v>412300</v>
      </c>
      <c r="C8" s="22">
        <v>500300</v>
      </c>
      <c r="D8" s="22">
        <v>319600</v>
      </c>
      <c r="E8" s="22">
        <v>360300</v>
      </c>
      <c r="F8" s="22">
        <v>615600</v>
      </c>
      <c r="K8" s="150"/>
    </row>
    <row r="9" spans="1:11" s="13" customFormat="1" ht="18" customHeight="1" x14ac:dyDescent="0.2">
      <c r="A9" s="14">
        <v>45931</v>
      </c>
      <c r="B9" s="22">
        <v>414900</v>
      </c>
      <c r="C9" s="22">
        <v>503600</v>
      </c>
      <c r="D9" s="22">
        <v>319500</v>
      </c>
      <c r="E9" s="22">
        <v>362300</v>
      </c>
      <c r="F9" s="22">
        <v>624600</v>
      </c>
    </row>
    <row r="10" spans="1:11" s="13" customFormat="1" ht="18" customHeight="1" x14ac:dyDescent="0.2">
      <c r="A10" s="14">
        <v>45962</v>
      </c>
      <c r="B10" s="22">
        <v>410000</v>
      </c>
      <c r="C10" s="22">
        <v>499800</v>
      </c>
      <c r="D10" s="22">
        <v>317100</v>
      </c>
      <c r="E10" s="22">
        <v>359700</v>
      </c>
      <c r="F10" s="22">
        <v>614900</v>
      </c>
    </row>
    <row r="11" spans="1:11" s="13" customFormat="1" ht="18" customHeight="1" x14ac:dyDescent="0.2">
      <c r="A11" s="14">
        <v>45992</v>
      </c>
      <c r="B11" s="22">
        <v>405400</v>
      </c>
      <c r="C11" s="22">
        <v>496700</v>
      </c>
      <c r="D11" s="22">
        <v>306000</v>
      </c>
      <c r="E11" s="22">
        <v>360200</v>
      </c>
      <c r="F11" s="22">
        <v>605600</v>
      </c>
    </row>
    <row r="12" spans="1:11" s="13" customFormat="1" ht="18" customHeight="1" x14ac:dyDescent="0.2">
      <c r="A12" s="14">
        <v>46023</v>
      </c>
      <c r="B12" s="22">
        <v>395000</v>
      </c>
      <c r="C12" s="22">
        <v>504000</v>
      </c>
      <c r="D12" s="22">
        <v>298100</v>
      </c>
      <c r="E12" s="22">
        <v>350900</v>
      </c>
      <c r="F12" s="22">
        <v>585600</v>
      </c>
    </row>
    <row r="13" spans="1:11" s="13" customFormat="1" ht="18" customHeight="1" x14ac:dyDescent="0.2">
      <c r="A13" s="14">
        <v>46054</v>
      </c>
      <c r="B13" s="22">
        <v>398000</v>
      </c>
      <c r="C13" s="22">
        <v>478000</v>
      </c>
      <c r="D13" s="22">
        <v>303900</v>
      </c>
      <c r="E13" s="22">
        <v>356600</v>
      </c>
      <c r="F13" s="22">
        <v>597200</v>
      </c>
    </row>
    <row r="14" spans="1:11" s="13" customFormat="1" ht="18" customHeight="1" x14ac:dyDescent="0.2">
      <c r="A14" s="14">
        <v>46082</v>
      </c>
      <c r="B14" s="22">
        <v>409100</v>
      </c>
      <c r="C14" s="22">
        <v>492800</v>
      </c>
      <c r="D14" s="22">
        <v>318600</v>
      </c>
      <c r="E14" s="22">
        <v>362400</v>
      </c>
      <c r="F14" s="22">
        <v>609100</v>
      </c>
    </row>
    <row r="15" spans="1:11" s="13" customFormat="1" ht="18" customHeight="1" x14ac:dyDescent="0.2">
      <c r="A15" s="14">
        <v>46113</v>
      </c>
      <c r="B15" s="22">
        <v>417500</v>
      </c>
      <c r="C15" s="22">
        <v>499400</v>
      </c>
      <c r="D15" s="22">
        <v>362900</v>
      </c>
      <c r="E15" s="22">
        <v>366900</v>
      </c>
      <c r="F15" s="22">
        <v>618400</v>
      </c>
    </row>
    <row r="16" spans="1:11" s="13" customFormat="1" ht="18" customHeight="1" x14ac:dyDescent="0.2">
      <c r="A16" s="14">
        <v>46143</v>
      </c>
      <c r="B16" s="22">
        <v>431200</v>
      </c>
      <c r="C16" s="22">
        <v>534900</v>
      </c>
      <c r="D16" s="22">
        <v>339600</v>
      </c>
      <c r="E16" s="22">
        <v>373800</v>
      </c>
      <c r="F16" s="22">
        <v>628600</v>
      </c>
    </row>
    <row r="17" spans="1:12" s="13" customFormat="1" ht="18" customHeight="1" x14ac:dyDescent="0.2">
      <c r="A17" s="12"/>
      <c r="B17" s="22"/>
      <c r="C17" s="22"/>
      <c r="D17" s="22"/>
      <c r="E17" s="22"/>
      <c r="F17" s="22"/>
    </row>
    <row r="18" spans="1:12" s="13" customFormat="1" ht="18" customHeight="1" x14ac:dyDescent="0.2">
      <c r="A18" s="12"/>
      <c r="B18" s="22"/>
      <c r="C18" s="22"/>
      <c r="D18" s="22"/>
      <c r="E18" s="22"/>
      <c r="F18" s="22"/>
    </row>
    <row r="19" spans="1:12" s="13" customFormat="1" ht="18" customHeight="1" x14ac:dyDescent="0.2">
      <c r="A19" s="12"/>
      <c r="B19" s="12"/>
      <c r="C19" s="12"/>
      <c r="D19" s="12"/>
      <c r="E19" s="12"/>
      <c r="F19" s="12"/>
    </row>
    <row r="20" spans="1:12" s="13" customFormat="1" ht="18" customHeight="1" x14ac:dyDescent="0.2">
      <c r="A20" s="12"/>
      <c r="B20" s="12"/>
      <c r="C20" s="12"/>
      <c r="D20" s="12"/>
      <c r="E20" s="12"/>
      <c r="F20" s="12"/>
    </row>
    <row r="21" spans="1:12" s="13" customFormat="1" ht="18" customHeight="1" x14ac:dyDescent="0.2">
      <c r="A21" s="12"/>
      <c r="B21" s="12"/>
      <c r="C21" s="12"/>
      <c r="D21" s="12"/>
      <c r="E21" s="12"/>
      <c r="F21" s="12"/>
    </row>
    <row r="22" spans="1:12" s="13" customFormat="1" ht="18" customHeight="1" x14ac:dyDescent="0.2">
      <c r="A22" s="12"/>
      <c r="B22" s="12"/>
      <c r="C22" s="12"/>
      <c r="D22" s="12"/>
      <c r="E22" s="12"/>
      <c r="F22" s="12"/>
    </row>
    <row r="23" spans="1:12" s="13" customFormat="1" ht="18" customHeight="1" x14ac:dyDescent="0.2">
      <c r="A23" s="12"/>
      <c r="B23" s="12"/>
      <c r="C23" s="12"/>
      <c r="D23" s="12"/>
      <c r="E23" s="12"/>
      <c r="F23" s="12"/>
    </row>
    <row r="24" spans="1:12" s="13" customFormat="1" ht="18" customHeight="1" x14ac:dyDescent="0.2">
      <c r="A24" s="12"/>
      <c r="B24" s="12"/>
      <c r="C24" s="12"/>
      <c r="D24" s="12"/>
      <c r="E24" s="12"/>
      <c r="F24" s="12"/>
    </row>
    <row r="25" spans="1:12" s="13" customFormat="1" ht="18" customHeight="1" x14ac:dyDescent="0.2">
      <c r="A25" s="12"/>
      <c r="B25" s="12"/>
      <c r="C25" s="12"/>
      <c r="D25" s="12"/>
      <c r="E25" s="12"/>
      <c r="F25" s="12"/>
    </row>
    <row r="26" spans="1:12" s="13" customFormat="1" ht="18" customHeight="1" x14ac:dyDescent="0.2">
      <c r="A26" s="12"/>
      <c r="B26" s="12"/>
      <c r="C26" s="12"/>
      <c r="D26" s="12"/>
      <c r="E26" s="12"/>
      <c r="F26" s="12"/>
    </row>
    <row r="27" spans="1:12" s="13" customFormat="1" ht="18" customHeight="1" x14ac:dyDescent="0.2">
      <c r="A27" s="12"/>
      <c r="B27" s="12"/>
      <c r="C27" s="12"/>
      <c r="D27" s="12"/>
      <c r="E27" s="12"/>
      <c r="F27" s="12"/>
      <c r="H27" s="23"/>
      <c r="I27" s="23"/>
      <c r="J27" s="23"/>
      <c r="K27" s="23"/>
      <c r="L27" s="23"/>
    </row>
    <row r="28" spans="1:12" s="13" customFormat="1" ht="18" customHeight="1" x14ac:dyDescent="0.2">
      <c r="A28" s="12"/>
      <c r="B28" s="12"/>
      <c r="C28" s="12"/>
      <c r="D28" s="12"/>
      <c r="E28" s="12"/>
      <c r="F28" s="12"/>
      <c r="H28" s="23"/>
      <c r="I28" s="23"/>
      <c r="J28" s="23"/>
      <c r="K28" s="23"/>
      <c r="L28" s="23"/>
    </row>
    <row r="29" spans="1:12" s="13" customFormat="1" ht="18" customHeight="1" x14ac:dyDescent="0.2">
      <c r="A29" s="12"/>
      <c r="B29" s="12"/>
      <c r="C29" s="12"/>
      <c r="D29" s="12"/>
      <c r="E29" s="12"/>
      <c r="F29" s="12"/>
      <c r="H29" s="23"/>
      <c r="I29" s="23"/>
      <c r="J29" s="23"/>
      <c r="K29" s="23"/>
      <c r="L29" s="23"/>
    </row>
    <row r="30" spans="1:12" s="13" customFormat="1" ht="18" customHeight="1" x14ac:dyDescent="0.2">
      <c r="A30" s="12"/>
      <c r="B30" s="12"/>
      <c r="C30" s="12"/>
      <c r="D30" s="12"/>
      <c r="E30" s="12"/>
      <c r="F30" s="12"/>
      <c r="H30" s="23"/>
      <c r="I30" s="23"/>
      <c r="J30" s="23"/>
      <c r="K30" s="23"/>
      <c r="L30" s="23"/>
    </row>
    <row r="31" spans="1:12" s="13" customFormat="1" ht="18" customHeight="1" x14ac:dyDescent="0.2">
      <c r="A31" s="12"/>
      <c r="B31" s="12"/>
      <c r="C31" s="12"/>
      <c r="D31" s="12"/>
      <c r="E31" s="12"/>
      <c r="F31" s="12"/>
      <c r="H31" s="23"/>
      <c r="I31" s="23"/>
      <c r="J31" s="23"/>
      <c r="K31" s="23"/>
      <c r="L31" s="23"/>
    </row>
    <row r="32" spans="1:12" s="13" customFormat="1" ht="18" customHeight="1" x14ac:dyDescent="0.2">
      <c r="A32" s="12"/>
      <c r="B32" s="12"/>
      <c r="C32" s="12"/>
      <c r="D32" s="12"/>
      <c r="E32" s="12"/>
      <c r="F32" s="12"/>
      <c r="H32" s="23"/>
      <c r="I32" s="23"/>
      <c r="J32" s="23"/>
      <c r="K32" s="23"/>
      <c r="L32" s="23"/>
    </row>
    <row r="33" spans="1:12" s="13" customFormat="1" ht="18" customHeight="1" x14ac:dyDescent="0.2">
      <c r="A33" s="12"/>
      <c r="B33" s="12"/>
      <c r="C33" s="12"/>
      <c r="D33" s="12"/>
      <c r="E33" s="12"/>
      <c r="F33" s="12"/>
      <c r="H33" s="23"/>
      <c r="I33" s="23"/>
      <c r="J33" s="23"/>
      <c r="K33" s="23"/>
      <c r="L33" s="23"/>
    </row>
    <row r="34" spans="1:12" s="13" customFormat="1" ht="18" customHeight="1" x14ac:dyDescent="0.2">
      <c r="A34" s="12"/>
      <c r="B34" s="12"/>
      <c r="C34" s="12"/>
      <c r="D34" s="12"/>
      <c r="E34" s="12"/>
      <c r="F34" s="12"/>
      <c r="H34" s="23"/>
      <c r="I34" s="23"/>
      <c r="J34" s="23"/>
      <c r="K34" s="23"/>
      <c r="L34" s="23"/>
    </row>
    <row r="35" spans="1:12" s="13" customFormat="1" ht="18" customHeight="1" x14ac:dyDescent="0.2">
      <c r="A35" s="12"/>
      <c r="B35" s="12"/>
      <c r="C35" s="12"/>
      <c r="D35" s="12"/>
      <c r="E35" s="12"/>
      <c r="F35" s="12"/>
      <c r="H35" s="23"/>
      <c r="I35" s="23"/>
      <c r="J35" s="23"/>
      <c r="K35" s="23"/>
      <c r="L35" s="23"/>
    </row>
    <row r="36" spans="1:12" s="13" customFormat="1" ht="18" customHeight="1" x14ac:dyDescent="0.2">
      <c r="A36" s="12"/>
      <c r="B36" s="12"/>
      <c r="C36" s="12"/>
      <c r="D36" s="12"/>
      <c r="E36" s="12"/>
      <c r="F36" s="12"/>
      <c r="H36" s="23"/>
      <c r="I36" s="23"/>
      <c r="J36" s="23"/>
      <c r="K36" s="23"/>
      <c r="L36" s="23"/>
    </row>
    <row r="37" spans="1:12" s="13" customFormat="1" ht="18" customHeight="1" x14ac:dyDescent="0.2">
      <c r="A37" s="12"/>
      <c r="B37" s="12"/>
      <c r="C37" s="12"/>
      <c r="D37" s="12"/>
      <c r="E37" s="12"/>
      <c r="F37" s="12"/>
      <c r="H37" s="23"/>
      <c r="I37" s="23"/>
      <c r="J37" s="23"/>
      <c r="K37" s="23"/>
      <c r="L37" s="23"/>
    </row>
    <row r="38" spans="1:12" s="13" customFormat="1" ht="18" customHeight="1" x14ac:dyDescent="0.2">
      <c r="A38" s="12"/>
      <c r="B38" s="12"/>
      <c r="C38" s="12"/>
      <c r="D38" s="12"/>
      <c r="E38" s="12"/>
      <c r="F38" s="12"/>
      <c r="H38" s="23"/>
      <c r="I38" s="23"/>
      <c r="J38" s="23"/>
      <c r="K38" s="23"/>
      <c r="L38" s="23"/>
    </row>
    <row r="39" spans="1:12" s="13" customFormat="1" ht="18" customHeight="1" x14ac:dyDescent="0.2">
      <c r="A39" s="12"/>
      <c r="B39" s="12"/>
      <c r="C39" s="12"/>
      <c r="D39" s="12"/>
      <c r="E39" s="12"/>
      <c r="F39" s="12"/>
      <c r="H39" s="23"/>
      <c r="I39" s="23"/>
      <c r="J39" s="23"/>
      <c r="K39" s="23"/>
      <c r="L39" s="23"/>
    </row>
    <row r="40" spans="1:12" s="13" customFormat="1" ht="18" customHeight="1" x14ac:dyDescent="0.2">
      <c r="A40" s="12"/>
      <c r="B40" s="12"/>
      <c r="C40" s="12"/>
      <c r="D40" s="12"/>
      <c r="E40" s="12"/>
      <c r="F40" s="12"/>
    </row>
    <row r="41" spans="1:12" s="13" customFormat="1" ht="18" customHeight="1" x14ac:dyDescent="0.2">
      <c r="A41" s="12"/>
      <c r="B41" s="12"/>
      <c r="C41" s="12"/>
      <c r="D41" s="12"/>
      <c r="E41" s="12"/>
      <c r="F41" s="12"/>
    </row>
    <row r="42" spans="1:12" s="13" customFormat="1" ht="18" customHeight="1" x14ac:dyDescent="0.2">
      <c r="A42" s="12"/>
      <c r="B42" s="12"/>
      <c r="C42" s="12"/>
      <c r="D42" s="12"/>
      <c r="E42" s="12"/>
      <c r="F42" s="12"/>
    </row>
    <row r="43" spans="1:12" s="13" customFormat="1" ht="18" customHeight="1" x14ac:dyDescent="0.2">
      <c r="A43" s="12"/>
      <c r="B43" s="12"/>
      <c r="C43" s="12"/>
      <c r="D43" s="12"/>
      <c r="E43" s="12"/>
      <c r="F43" s="12"/>
    </row>
    <row r="44" spans="1:12" s="13" customFormat="1" ht="18" customHeight="1" x14ac:dyDescent="0.2">
      <c r="A44" s="12"/>
      <c r="B44" s="12"/>
      <c r="C44" s="12"/>
      <c r="D44" s="12"/>
      <c r="E44" s="12"/>
      <c r="F44" s="12"/>
    </row>
    <row r="45" spans="1:12" s="13" customFormat="1" ht="18" customHeight="1" x14ac:dyDescent="0.2">
      <c r="A45" s="12"/>
      <c r="B45" s="12"/>
      <c r="C45" s="12"/>
      <c r="D45" s="12"/>
      <c r="E45" s="12"/>
      <c r="F45" s="12"/>
    </row>
    <row r="46" spans="1:12" s="13" customFormat="1" ht="18" customHeight="1" x14ac:dyDescent="0.2">
      <c r="A46" s="12"/>
      <c r="B46" s="12"/>
      <c r="C46" s="12"/>
      <c r="D46" s="12"/>
      <c r="E46" s="12"/>
      <c r="F46" s="12"/>
    </row>
    <row r="47" spans="1:12" s="13" customFormat="1" ht="18" customHeigh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Y418"/>
  <sheetViews>
    <sheetView zoomScaleNormal="100" workbookViewId="0">
      <pane xSplit="1" ySplit="1" topLeftCell="B138" activePane="bottomRight" state="frozen"/>
      <selection pane="topRight" activeCell="B1" sqref="B1"/>
      <selection pane="bottomLeft" activeCell="A2" sqref="A2"/>
      <selection pane="bottomRight" activeCell="L153" sqref="L153"/>
    </sheetView>
  </sheetViews>
  <sheetFormatPr defaultColWidth="8.7109375" defaultRowHeight="12" x14ac:dyDescent="0.2"/>
  <cols>
    <col min="1" max="1" width="9.28515625" style="176"/>
    <col min="2" max="7" width="8.7109375" style="176"/>
    <col min="8" max="8" width="9.28515625" style="176" customWidth="1"/>
    <col min="9" max="11" width="8.7109375" style="176"/>
    <col min="12" max="12" width="16.7109375" style="193" bestFit="1" customWidth="1"/>
    <col min="13" max="16384" width="8.7109375" style="176"/>
  </cols>
  <sheetData>
    <row r="1" spans="1:24" ht="24" x14ac:dyDescent="0.2">
      <c r="A1" s="176" t="s">
        <v>16</v>
      </c>
      <c r="B1" s="177" t="s">
        <v>18</v>
      </c>
      <c r="C1" s="178" t="s">
        <v>19</v>
      </c>
      <c r="D1" s="178" t="s">
        <v>20</v>
      </c>
      <c r="E1" s="178" t="s">
        <v>21</v>
      </c>
      <c r="F1" s="178" t="s">
        <v>22</v>
      </c>
      <c r="G1" s="178" t="s">
        <v>23</v>
      </c>
      <c r="H1" s="178" t="s">
        <v>24</v>
      </c>
      <c r="I1" s="178" t="s">
        <v>25</v>
      </c>
      <c r="J1" s="178" t="s">
        <v>26</v>
      </c>
      <c r="K1" s="178" t="s">
        <v>27</v>
      </c>
      <c r="L1" s="192" t="s">
        <v>28</v>
      </c>
      <c r="M1" s="179" t="s">
        <v>410</v>
      </c>
      <c r="N1" s="180"/>
      <c r="O1" s="181"/>
      <c r="P1" s="181"/>
      <c r="Q1" s="181"/>
      <c r="R1" s="181"/>
      <c r="S1" s="181"/>
      <c r="T1" s="181"/>
      <c r="U1" s="181"/>
      <c r="V1" s="181"/>
      <c r="W1" s="181"/>
    </row>
    <row r="2" spans="1:24" ht="15" x14ac:dyDescent="0.25">
      <c r="A2" s="176" t="s">
        <v>267</v>
      </c>
      <c r="B2" s="191">
        <v>100</v>
      </c>
      <c r="C2" s="191">
        <v>100</v>
      </c>
      <c r="D2" s="191">
        <v>100</v>
      </c>
      <c r="E2" s="191">
        <v>100</v>
      </c>
      <c r="F2" s="191">
        <v>100</v>
      </c>
      <c r="G2" s="191">
        <v>100</v>
      </c>
      <c r="H2" s="191">
        <v>100</v>
      </c>
      <c r="I2" s="191">
        <v>100</v>
      </c>
      <c r="J2" s="191">
        <v>100</v>
      </c>
      <c r="K2" s="191">
        <v>100</v>
      </c>
      <c r="L2" s="189">
        <v>75.73633333333332</v>
      </c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 spans="1:24" ht="15" x14ac:dyDescent="0.25">
      <c r="A3" s="176" t="s">
        <v>268</v>
      </c>
      <c r="B3" s="191">
        <v>100.01</v>
      </c>
      <c r="C3" s="191">
        <v>98.53</v>
      </c>
      <c r="D3" s="191">
        <v>99.33</v>
      </c>
      <c r="E3" s="191">
        <v>99.95</v>
      </c>
      <c r="F3" s="191">
        <v>100.32</v>
      </c>
      <c r="G3" s="191">
        <v>100.4</v>
      </c>
      <c r="H3" s="191">
        <v>100.11</v>
      </c>
      <c r="I3" s="191">
        <v>100.56</v>
      </c>
      <c r="J3" s="191">
        <v>100.69</v>
      </c>
      <c r="K3" s="191">
        <v>99.63</v>
      </c>
      <c r="L3" s="189">
        <v>75.772000000000006</v>
      </c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 spans="1:24" ht="15" x14ac:dyDescent="0.25">
      <c r="A4" s="176" t="s">
        <v>269</v>
      </c>
      <c r="B4" s="191">
        <v>100.18</v>
      </c>
      <c r="C4" s="191">
        <v>97.29</v>
      </c>
      <c r="D4" s="191">
        <v>99.41</v>
      </c>
      <c r="E4" s="191">
        <v>99.72</v>
      </c>
      <c r="F4" s="191">
        <v>100.55</v>
      </c>
      <c r="G4" s="191">
        <v>100.97</v>
      </c>
      <c r="H4" s="191">
        <v>100.34</v>
      </c>
      <c r="I4" s="191">
        <v>101.29</v>
      </c>
      <c r="J4" s="191">
        <v>101.21</v>
      </c>
      <c r="K4" s="191">
        <v>99.63</v>
      </c>
      <c r="L4" s="189">
        <v>76.125666666666675</v>
      </c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</row>
    <row r="5" spans="1:24" ht="15" x14ac:dyDescent="0.25">
      <c r="A5" s="176" t="s">
        <v>270</v>
      </c>
      <c r="B5" s="191">
        <v>101.05</v>
      </c>
      <c r="C5" s="191">
        <v>97.22</v>
      </c>
      <c r="D5" s="191">
        <v>100.23</v>
      </c>
      <c r="E5" s="191">
        <v>100.78</v>
      </c>
      <c r="F5" s="191">
        <v>101.8</v>
      </c>
      <c r="G5" s="191">
        <v>101.15</v>
      </c>
      <c r="H5" s="191">
        <v>101.42</v>
      </c>
      <c r="I5" s="191">
        <v>102.28</v>
      </c>
      <c r="J5" s="191">
        <v>103.24</v>
      </c>
      <c r="K5" s="191">
        <v>100.3</v>
      </c>
      <c r="L5" s="189">
        <v>76.043333333333337</v>
      </c>
      <c r="M5" s="183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ht="15" x14ac:dyDescent="0.25">
      <c r="A6" s="176" t="s">
        <v>271</v>
      </c>
      <c r="B6" s="191">
        <v>102.27</v>
      </c>
      <c r="C6" s="191">
        <v>98.42</v>
      </c>
      <c r="D6" s="191">
        <v>101.42</v>
      </c>
      <c r="E6" s="191">
        <v>101.7</v>
      </c>
      <c r="F6" s="191">
        <v>103.22</v>
      </c>
      <c r="G6" s="191">
        <v>102.8</v>
      </c>
      <c r="H6" s="191">
        <v>102.75</v>
      </c>
      <c r="I6" s="191">
        <v>103.76</v>
      </c>
      <c r="J6" s="191">
        <v>105.16</v>
      </c>
      <c r="K6" s="191">
        <v>100.79</v>
      </c>
      <c r="L6" s="189">
        <v>76.174333333333337</v>
      </c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ht="15" x14ac:dyDescent="0.25">
      <c r="A7" s="176" t="s">
        <v>272</v>
      </c>
      <c r="B7" s="191">
        <v>102.12</v>
      </c>
      <c r="C7" s="191">
        <v>96.14</v>
      </c>
      <c r="D7" s="191">
        <v>100.76</v>
      </c>
      <c r="E7" s="191">
        <v>101.3</v>
      </c>
      <c r="F7" s="191">
        <v>103.19</v>
      </c>
      <c r="G7" s="191">
        <v>102.74</v>
      </c>
      <c r="H7" s="191">
        <v>103.55</v>
      </c>
      <c r="I7" s="191">
        <v>104.66</v>
      </c>
      <c r="J7" s="191">
        <v>106.07</v>
      </c>
      <c r="K7" s="191">
        <v>99.74</v>
      </c>
      <c r="L7" s="189">
        <v>76.358666666666664</v>
      </c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5" x14ac:dyDescent="0.25">
      <c r="A8" s="176" t="s">
        <v>273</v>
      </c>
      <c r="B8" s="191">
        <v>102.96</v>
      </c>
      <c r="C8" s="191">
        <v>96.05</v>
      </c>
      <c r="D8" s="191">
        <v>100.96</v>
      </c>
      <c r="E8" s="191">
        <v>102.39</v>
      </c>
      <c r="F8" s="191">
        <v>104.79</v>
      </c>
      <c r="G8" s="191">
        <v>103.77</v>
      </c>
      <c r="H8" s="191">
        <v>104.67</v>
      </c>
      <c r="I8" s="191">
        <v>105.65</v>
      </c>
      <c r="J8" s="191">
        <v>107.76</v>
      </c>
      <c r="K8" s="191">
        <v>99.94</v>
      </c>
      <c r="L8" s="189">
        <v>76.245666666666665</v>
      </c>
      <c r="M8" s="183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</row>
    <row r="9" spans="1:24" ht="15" x14ac:dyDescent="0.25">
      <c r="A9" s="176" t="s">
        <v>274</v>
      </c>
      <c r="B9" s="191">
        <v>103.77</v>
      </c>
      <c r="C9" s="191">
        <v>96.76</v>
      </c>
      <c r="D9" s="191">
        <v>102.03</v>
      </c>
      <c r="E9" s="191">
        <v>102.83</v>
      </c>
      <c r="F9" s="191">
        <v>105.81</v>
      </c>
      <c r="G9" s="191">
        <v>104.94</v>
      </c>
      <c r="H9" s="191">
        <v>105.7</v>
      </c>
      <c r="I9" s="191">
        <v>107.02</v>
      </c>
      <c r="J9" s="191">
        <v>110.09</v>
      </c>
      <c r="K9" s="191">
        <v>99.21</v>
      </c>
      <c r="L9" s="189">
        <v>76.535666666666671</v>
      </c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</row>
    <row r="10" spans="1:24" ht="15" x14ac:dyDescent="0.25">
      <c r="A10" s="176" t="s">
        <v>275</v>
      </c>
      <c r="B10" s="191">
        <v>103.81</v>
      </c>
      <c r="C10" s="191">
        <v>94.35</v>
      </c>
      <c r="D10" s="191">
        <v>100.94</v>
      </c>
      <c r="E10" s="191">
        <v>102.86</v>
      </c>
      <c r="F10" s="191">
        <v>106.52</v>
      </c>
      <c r="G10" s="191">
        <v>105.65</v>
      </c>
      <c r="H10" s="191">
        <v>106.82</v>
      </c>
      <c r="I10" s="191">
        <v>107.77</v>
      </c>
      <c r="J10" s="191">
        <v>111.94</v>
      </c>
      <c r="K10" s="191">
        <v>98.09</v>
      </c>
      <c r="L10" s="189">
        <v>76.828666666666663</v>
      </c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</row>
    <row r="11" spans="1:24" ht="15" x14ac:dyDescent="0.25">
      <c r="A11" s="176" t="s">
        <v>276</v>
      </c>
      <c r="B11" s="191">
        <v>104.86</v>
      </c>
      <c r="C11" s="191">
        <v>95.12</v>
      </c>
      <c r="D11" s="191">
        <v>101.82</v>
      </c>
      <c r="E11" s="191">
        <v>103.93</v>
      </c>
      <c r="F11" s="191">
        <v>107.98</v>
      </c>
      <c r="G11" s="191">
        <v>106.97</v>
      </c>
      <c r="H11" s="191">
        <v>108.47</v>
      </c>
      <c r="I11" s="191">
        <v>109.12</v>
      </c>
      <c r="J11" s="191">
        <v>114.56</v>
      </c>
      <c r="K11" s="191">
        <v>97.66</v>
      </c>
      <c r="L11" s="189">
        <v>77.071666666666673</v>
      </c>
      <c r="M11" s="183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</row>
    <row r="12" spans="1:24" ht="15" x14ac:dyDescent="0.25">
      <c r="A12" s="176" t="s">
        <v>277</v>
      </c>
      <c r="B12" s="191">
        <v>105.65</v>
      </c>
      <c r="C12" s="191">
        <v>94.89</v>
      </c>
      <c r="D12" s="191">
        <v>101.56</v>
      </c>
      <c r="E12" s="191">
        <v>104.6</v>
      </c>
      <c r="F12" s="191">
        <v>109.42</v>
      </c>
      <c r="G12" s="191">
        <v>108.47</v>
      </c>
      <c r="H12" s="191">
        <v>110.23</v>
      </c>
      <c r="I12" s="191">
        <v>110.62</v>
      </c>
      <c r="J12" s="191">
        <v>117.58</v>
      </c>
      <c r="K12" s="191">
        <v>96.81</v>
      </c>
      <c r="L12" s="189">
        <v>77.61399999999999</v>
      </c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</row>
    <row r="13" spans="1:24" ht="15" x14ac:dyDescent="0.25">
      <c r="A13" s="176" t="s">
        <v>278</v>
      </c>
      <c r="B13" s="191">
        <v>106.65</v>
      </c>
      <c r="C13" s="191">
        <v>94.94</v>
      </c>
      <c r="D13" s="191">
        <v>102.05</v>
      </c>
      <c r="E13" s="191">
        <v>105.31</v>
      </c>
      <c r="F13" s="191">
        <v>110.81</v>
      </c>
      <c r="G13" s="191">
        <v>109.82</v>
      </c>
      <c r="H13" s="191">
        <v>112.22</v>
      </c>
      <c r="I13" s="191">
        <v>112.02</v>
      </c>
      <c r="J13" s="191">
        <v>120.61</v>
      </c>
      <c r="K13" s="191">
        <v>96.76</v>
      </c>
      <c r="L13" s="189">
        <v>78.138999999999996</v>
      </c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</row>
    <row r="14" spans="1:24" ht="15" x14ac:dyDescent="0.25">
      <c r="A14" s="176" t="s">
        <v>279</v>
      </c>
      <c r="B14" s="191">
        <v>107.6</v>
      </c>
      <c r="C14" s="191">
        <v>95.47</v>
      </c>
      <c r="D14" s="191">
        <v>101.99</v>
      </c>
      <c r="E14" s="191">
        <v>106.21</v>
      </c>
      <c r="F14" s="191">
        <v>112.69</v>
      </c>
      <c r="G14" s="191">
        <v>111.32</v>
      </c>
      <c r="H14" s="191">
        <v>113.71</v>
      </c>
      <c r="I14" s="191">
        <v>113.58</v>
      </c>
      <c r="J14" s="191">
        <v>123.6</v>
      </c>
      <c r="K14" s="191">
        <v>96.28</v>
      </c>
      <c r="L14" s="189">
        <v>78.723666666666659</v>
      </c>
      <c r="M14" s="183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</row>
    <row r="15" spans="1:24" ht="15" x14ac:dyDescent="0.25">
      <c r="A15" s="176" t="s">
        <v>280</v>
      </c>
      <c r="B15" s="191">
        <v>108.47</v>
      </c>
      <c r="C15" s="191">
        <v>95.49</v>
      </c>
      <c r="D15" s="191">
        <v>101.93</v>
      </c>
      <c r="E15" s="191">
        <v>107.21</v>
      </c>
      <c r="F15" s="191">
        <v>114.2</v>
      </c>
      <c r="G15" s="191">
        <v>112.16</v>
      </c>
      <c r="H15" s="191">
        <v>115.01</v>
      </c>
      <c r="I15" s="191">
        <v>114.96</v>
      </c>
      <c r="J15" s="191">
        <v>126.67</v>
      </c>
      <c r="K15" s="191">
        <v>96.24</v>
      </c>
      <c r="L15" s="189">
        <v>79.209999999999994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</row>
    <row r="16" spans="1:24" ht="15" x14ac:dyDescent="0.25">
      <c r="A16" s="176" t="s">
        <v>281</v>
      </c>
      <c r="B16" s="191">
        <v>109.13</v>
      </c>
      <c r="C16" s="191">
        <v>95.41</v>
      </c>
      <c r="D16" s="191">
        <v>101.92</v>
      </c>
      <c r="E16" s="191">
        <v>108.11</v>
      </c>
      <c r="F16" s="191">
        <v>115.46</v>
      </c>
      <c r="G16" s="191">
        <v>112.66</v>
      </c>
      <c r="H16" s="191">
        <v>116.05</v>
      </c>
      <c r="I16" s="191">
        <v>116.09</v>
      </c>
      <c r="J16" s="191">
        <v>128.91999999999999</v>
      </c>
      <c r="K16" s="191">
        <v>96.03</v>
      </c>
      <c r="L16" s="189">
        <v>79.765333333333331</v>
      </c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</row>
    <row r="17" spans="1:24" ht="15" x14ac:dyDescent="0.25">
      <c r="A17" s="176" t="s">
        <v>282</v>
      </c>
      <c r="B17" s="191">
        <v>109.67</v>
      </c>
      <c r="C17" s="191">
        <v>95.26</v>
      </c>
      <c r="D17" s="191">
        <v>101.23</v>
      </c>
      <c r="E17" s="191">
        <v>108.89</v>
      </c>
      <c r="F17" s="191">
        <v>116.52</v>
      </c>
      <c r="G17" s="191">
        <v>113.29</v>
      </c>
      <c r="H17" s="191">
        <v>117.01</v>
      </c>
      <c r="I17" s="191">
        <v>117.46</v>
      </c>
      <c r="J17" s="191">
        <v>130.9</v>
      </c>
      <c r="K17" s="191">
        <v>95.65</v>
      </c>
      <c r="L17" s="189">
        <v>80.169666666666672</v>
      </c>
      <c r="M17" s="183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</row>
    <row r="18" spans="1:24" ht="15" x14ac:dyDescent="0.25">
      <c r="A18" s="176" t="s">
        <v>283</v>
      </c>
      <c r="B18" s="191">
        <v>110.32</v>
      </c>
      <c r="C18" s="191">
        <v>95.04</v>
      </c>
      <c r="D18" s="191">
        <v>100.99</v>
      </c>
      <c r="E18" s="191">
        <v>109.58</v>
      </c>
      <c r="F18" s="191">
        <v>117.91</v>
      </c>
      <c r="G18" s="191">
        <v>113.77</v>
      </c>
      <c r="H18" s="191">
        <v>118.25</v>
      </c>
      <c r="I18" s="191">
        <v>118.91</v>
      </c>
      <c r="J18" s="191">
        <v>132.37</v>
      </c>
      <c r="K18" s="191">
        <v>95.71</v>
      </c>
      <c r="L18" s="189">
        <v>80.516666666666666</v>
      </c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</row>
    <row r="19" spans="1:24" ht="15" x14ac:dyDescent="0.25">
      <c r="A19" s="176" t="s">
        <v>284</v>
      </c>
      <c r="B19" s="191">
        <v>111</v>
      </c>
      <c r="C19" s="191">
        <v>95.77</v>
      </c>
      <c r="D19" s="191">
        <v>101.35</v>
      </c>
      <c r="E19" s="191">
        <v>110.03</v>
      </c>
      <c r="F19" s="191">
        <v>119.01</v>
      </c>
      <c r="G19" s="191">
        <v>114.78</v>
      </c>
      <c r="H19" s="191">
        <v>119.66</v>
      </c>
      <c r="I19" s="191">
        <v>120.2</v>
      </c>
      <c r="J19" s="191">
        <v>134.1</v>
      </c>
      <c r="K19" s="191">
        <v>95.13</v>
      </c>
      <c r="L19" s="189">
        <v>80.716333333333338</v>
      </c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</row>
    <row r="20" spans="1:24" ht="15" x14ac:dyDescent="0.25">
      <c r="A20" s="176" t="s">
        <v>285</v>
      </c>
      <c r="B20" s="191">
        <v>112</v>
      </c>
      <c r="C20" s="191">
        <v>96.17</v>
      </c>
      <c r="D20" s="191">
        <v>101.68</v>
      </c>
      <c r="E20" s="191">
        <v>111.06</v>
      </c>
      <c r="F20" s="191">
        <v>120.48</v>
      </c>
      <c r="G20" s="191">
        <v>115.86</v>
      </c>
      <c r="H20" s="191">
        <v>121.16</v>
      </c>
      <c r="I20" s="191">
        <v>121.89</v>
      </c>
      <c r="J20" s="191">
        <v>136.13</v>
      </c>
      <c r="K20" s="191">
        <v>95.3</v>
      </c>
      <c r="L20" s="189">
        <v>81.117333333333335</v>
      </c>
      <c r="M20" s="183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</row>
    <row r="21" spans="1:24" ht="15" x14ac:dyDescent="0.25">
      <c r="A21" s="176" t="s">
        <v>286</v>
      </c>
      <c r="B21" s="191">
        <v>112.67</v>
      </c>
      <c r="C21" s="191">
        <v>96.29</v>
      </c>
      <c r="D21" s="191">
        <v>101.37</v>
      </c>
      <c r="E21" s="191">
        <v>111.72</v>
      </c>
      <c r="F21" s="191">
        <v>122.1</v>
      </c>
      <c r="G21" s="191">
        <v>116.66</v>
      </c>
      <c r="H21" s="191">
        <v>122.68</v>
      </c>
      <c r="I21" s="191">
        <v>123.26</v>
      </c>
      <c r="J21" s="191">
        <v>137.31</v>
      </c>
      <c r="K21" s="191">
        <v>95.17</v>
      </c>
      <c r="L21" s="189">
        <v>81.611333333333334</v>
      </c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</row>
    <row r="22" spans="1:24" ht="15" x14ac:dyDescent="0.25">
      <c r="A22" s="176" t="s">
        <v>287</v>
      </c>
      <c r="B22" s="191">
        <v>113.64</v>
      </c>
      <c r="C22" s="191">
        <v>97.72</v>
      </c>
      <c r="D22" s="191">
        <v>102.17</v>
      </c>
      <c r="E22" s="191">
        <v>112.82</v>
      </c>
      <c r="F22" s="191">
        <v>122.82</v>
      </c>
      <c r="G22" s="191">
        <v>117.52</v>
      </c>
      <c r="H22" s="191">
        <v>123.66</v>
      </c>
      <c r="I22" s="191">
        <v>124.85</v>
      </c>
      <c r="J22" s="191">
        <v>139.03</v>
      </c>
      <c r="K22" s="191">
        <v>95.29</v>
      </c>
      <c r="L22" s="189">
        <v>81.99366666666667</v>
      </c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</row>
    <row r="23" spans="1:24" ht="15" x14ac:dyDescent="0.25">
      <c r="A23" s="176" t="s">
        <v>288</v>
      </c>
      <c r="B23" s="191">
        <v>114.37</v>
      </c>
      <c r="C23" s="191">
        <v>97.87</v>
      </c>
      <c r="D23" s="191">
        <v>102.14</v>
      </c>
      <c r="E23" s="191">
        <v>113.38</v>
      </c>
      <c r="F23" s="191">
        <v>124.37</v>
      </c>
      <c r="G23" s="191">
        <v>118.25</v>
      </c>
      <c r="H23" s="191">
        <v>125.27</v>
      </c>
      <c r="I23" s="191">
        <v>126.49</v>
      </c>
      <c r="J23" s="191">
        <v>140.38999999999999</v>
      </c>
      <c r="K23" s="191">
        <v>95.17</v>
      </c>
      <c r="L23" s="189">
        <v>82.592333333333343</v>
      </c>
      <c r="M23" s="183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</row>
    <row r="24" spans="1:24" ht="15" x14ac:dyDescent="0.25">
      <c r="A24" s="176" t="s">
        <v>289</v>
      </c>
      <c r="B24" s="191">
        <v>115.09</v>
      </c>
      <c r="C24" s="191">
        <v>98.48</v>
      </c>
      <c r="D24" s="191">
        <v>102.22</v>
      </c>
      <c r="E24" s="191">
        <v>114.22</v>
      </c>
      <c r="F24" s="191">
        <v>125.84</v>
      </c>
      <c r="G24" s="191">
        <v>118.85</v>
      </c>
      <c r="H24" s="191">
        <v>126.29</v>
      </c>
      <c r="I24" s="191">
        <v>127.59</v>
      </c>
      <c r="J24" s="191">
        <v>141.52000000000001</v>
      </c>
      <c r="K24" s="191">
        <v>95.43</v>
      </c>
      <c r="L24" s="189">
        <v>83.089666666666659</v>
      </c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</row>
    <row r="25" spans="1:24" ht="15" x14ac:dyDescent="0.25">
      <c r="A25" s="176" t="s">
        <v>290</v>
      </c>
      <c r="B25" s="191">
        <v>115.77</v>
      </c>
      <c r="C25" s="191">
        <v>98.7</v>
      </c>
      <c r="D25" s="191">
        <v>102.23</v>
      </c>
      <c r="E25" s="191">
        <v>114.78</v>
      </c>
      <c r="F25" s="191">
        <v>126.81</v>
      </c>
      <c r="G25" s="191">
        <v>119.34</v>
      </c>
      <c r="H25" s="191">
        <v>127.49</v>
      </c>
      <c r="I25" s="191">
        <v>128.74</v>
      </c>
      <c r="J25" s="191">
        <v>142.56</v>
      </c>
      <c r="K25" s="191">
        <v>96.09</v>
      </c>
      <c r="L25" s="189">
        <v>83.549000000000007</v>
      </c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</row>
    <row r="26" spans="1:24" ht="15" x14ac:dyDescent="0.25">
      <c r="A26" s="176" t="s">
        <v>291</v>
      </c>
      <c r="B26" s="191">
        <v>116.49</v>
      </c>
      <c r="C26" s="191">
        <v>99.34</v>
      </c>
      <c r="D26" s="191">
        <v>102.62</v>
      </c>
      <c r="E26" s="191">
        <v>115.71</v>
      </c>
      <c r="F26" s="191">
        <v>128.11000000000001</v>
      </c>
      <c r="G26" s="191">
        <v>120.24</v>
      </c>
      <c r="H26" s="191">
        <v>128.56</v>
      </c>
      <c r="I26" s="191">
        <v>129.66999999999999</v>
      </c>
      <c r="J26" s="191">
        <v>143.66999999999999</v>
      </c>
      <c r="K26" s="191">
        <v>96.01</v>
      </c>
      <c r="L26" s="189">
        <v>84.194333333333319</v>
      </c>
      <c r="M26" s="183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</row>
    <row r="27" spans="1:24" ht="15" x14ac:dyDescent="0.25">
      <c r="A27" s="176" t="s">
        <v>292</v>
      </c>
      <c r="B27" s="191">
        <v>117.45</v>
      </c>
      <c r="C27" s="191">
        <v>100.52</v>
      </c>
      <c r="D27" s="191">
        <v>103.15</v>
      </c>
      <c r="E27" s="191">
        <v>116.5</v>
      </c>
      <c r="F27" s="191">
        <v>128.86000000000001</v>
      </c>
      <c r="G27" s="191">
        <v>120.93</v>
      </c>
      <c r="H27" s="191">
        <v>129.56</v>
      </c>
      <c r="I27" s="191">
        <v>130.81</v>
      </c>
      <c r="J27" s="191">
        <v>144.78</v>
      </c>
      <c r="K27" s="191">
        <v>97.42</v>
      </c>
      <c r="L27" s="189">
        <v>84.853666666666655</v>
      </c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</row>
    <row r="28" spans="1:24" ht="15" x14ac:dyDescent="0.25">
      <c r="A28" s="176" t="s">
        <v>293</v>
      </c>
      <c r="B28" s="191">
        <v>118.3</v>
      </c>
      <c r="C28" s="191">
        <v>101.26</v>
      </c>
      <c r="D28" s="191">
        <v>103.38</v>
      </c>
      <c r="E28" s="191">
        <v>117</v>
      </c>
      <c r="F28" s="191">
        <v>129.72</v>
      </c>
      <c r="G28" s="191">
        <v>121.66</v>
      </c>
      <c r="H28" s="191">
        <v>130.84</v>
      </c>
      <c r="I28" s="191">
        <v>131.94999999999999</v>
      </c>
      <c r="J28" s="191">
        <v>145.72999999999999</v>
      </c>
      <c r="K28" s="191">
        <v>98.73</v>
      </c>
      <c r="L28" s="189">
        <v>85.584999999999994</v>
      </c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</row>
    <row r="29" spans="1:24" ht="15" x14ac:dyDescent="0.25">
      <c r="A29" s="176" t="s">
        <v>294</v>
      </c>
      <c r="B29" s="191">
        <v>119.57</v>
      </c>
      <c r="C29" s="191">
        <v>103.01</v>
      </c>
      <c r="D29" s="191">
        <v>104.29</v>
      </c>
      <c r="E29" s="191">
        <v>118.44</v>
      </c>
      <c r="F29" s="191">
        <v>130.43</v>
      </c>
      <c r="G29" s="191">
        <v>123.03</v>
      </c>
      <c r="H29" s="191">
        <v>132.1</v>
      </c>
      <c r="I29" s="191">
        <v>133.03</v>
      </c>
      <c r="J29" s="191">
        <v>146.94</v>
      </c>
      <c r="K29" s="191">
        <v>100.23</v>
      </c>
      <c r="L29" s="189">
        <v>86.624333333333325</v>
      </c>
      <c r="M29" s="183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</row>
    <row r="30" spans="1:24" ht="15" x14ac:dyDescent="0.25">
      <c r="A30" s="176" t="s">
        <v>295</v>
      </c>
      <c r="B30" s="191">
        <v>121.07</v>
      </c>
      <c r="C30" s="191">
        <v>104.47</v>
      </c>
      <c r="D30" s="191">
        <v>105.17</v>
      </c>
      <c r="E30" s="191">
        <v>119.58</v>
      </c>
      <c r="F30" s="191">
        <v>131.88</v>
      </c>
      <c r="G30" s="191">
        <v>124.73</v>
      </c>
      <c r="H30" s="191">
        <v>134.06</v>
      </c>
      <c r="I30" s="191">
        <v>134.5</v>
      </c>
      <c r="J30" s="191">
        <v>148.38999999999999</v>
      </c>
      <c r="K30" s="191">
        <v>102.25</v>
      </c>
      <c r="L30" s="189">
        <v>88.021000000000001</v>
      </c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</row>
    <row r="31" spans="1:24" ht="15" x14ac:dyDescent="0.25">
      <c r="A31" s="176" t="s">
        <v>296</v>
      </c>
      <c r="B31" s="191">
        <v>122.74</v>
      </c>
      <c r="C31" s="191">
        <v>106.6</v>
      </c>
      <c r="D31" s="191">
        <v>106.57</v>
      </c>
      <c r="E31" s="191">
        <v>120.92</v>
      </c>
      <c r="F31" s="191">
        <v>133.49</v>
      </c>
      <c r="G31" s="191">
        <v>126.07</v>
      </c>
      <c r="H31" s="191">
        <v>135.5</v>
      </c>
      <c r="I31" s="191">
        <v>135.88</v>
      </c>
      <c r="J31" s="191">
        <v>150.12</v>
      </c>
      <c r="K31" s="191">
        <v>104.91</v>
      </c>
      <c r="L31" s="189">
        <v>89.362000000000009</v>
      </c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</row>
    <row r="32" spans="1:24" ht="15" x14ac:dyDescent="0.25">
      <c r="A32" s="176" t="s">
        <v>297</v>
      </c>
      <c r="B32" s="191">
        <v>124.34</v>
      </c>
      <c r="C32" s="191">
        <v>108.75</v>
      </c>
      <c r="D32" s="191">
        <v>107.83</v>
      </c>
      <c r="E32" s="191">
        <v>122.17</v>
      </c>
      <c r="F32" s="191">
        <v>134.69</v>
      </c>
      <c r="G32" s="191">
        <v>128.01</v>
      </c>
      <c r="H32" s="191">
        <v>137.47999999999999</v>
      </c>
      <c r="I32" s="191">
        <v>137.37</v>
      </c>
      <c r="J32" s="191">
        <v>151.66</v>
      </c>
      <c r="K32" s="191">
        <v>106.81</v>
      </c>
      <c r="L32" s="189">
        <v>90.783000000000015</v>
      </c>
      <c r="M32" s="183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</row>
    <row r="33" spans="1:24" ht="15" x14ac:dyDescent="0.25">
      <c r="A33" s="176" t="s">
        <v>298</v>
      </c>
      <c r="B33" s="191">
        <v>126.38</v>
      </c>
      <c r="C33" s="191">
        <v>111.25</v>
      </c>
      <c r="D33" s="191">
        <v>109.37</v>
      </c>
      <c r="E33" s="191">
        <v>123.79</v>
      </c>
      <c r="F33" s="191">
        <v>136.6</v>
      </c>
      <c r="G33" s="191">
        <v>129.87</v>
      </c>
      <c r="H33" s="191">
        <v>140.68</v>
      </c>
      <c r="I33" s="191">
        <v>139.54</v>
      </c>
      <c r="J33" s="191">
        <v>153.79</v>
      </c>
      <c r="K33" s="191">
        <v>108.99</v>
      </c>
      <c r="L33" s="189">
        <v>92.208000000000013</v>
      </c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</row>
    <row r="34" spans="1:24" ht="15" x14ac:dyDescent="0.25">
      <c r="A34" s="176" t="s">
        <v>299</v>
      </c>
      <c r="B34" s="191">
        <v>128.22</v>
      </c>
      <c r="C34" s="191">
        <v>113.54</v>
      </c>
      <c r="D34" s="191">
        <v>110.82</v>
      </c>
      <c r="E34" s="191">
        <v>125.64</v>
      </c>
      <c r="F34" s="191">
        <v>138.16</v>
      </c>
      <c r="G34" s="191">
        <v>131.43</v>
      </c>
      <c r="H34" s="191">
        <v>142.51</v>
      </c>
      <c r="I34" s="191">
        <v>141.25</v>
      </c>
      <c r="J34" s="191">
        <v>155.78</v>
      </c>
      <c r="K34" s="191">
        <v>111.3</v>
      </c>
      <c r="L34" s="189">
        <v>93.697999999999993</v>
      </c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</row>
    <row r="35" spans="1:24" ht="15" x14ac:dyDescent="0.25">
      <c r="A35" s="176" t="s">
        <v>300</v>
      </c>
      <c r="B35" s="191">
        <v>130.11000000000001</v>
      </c>
      <c r="C35" s="191">
        <v>116.39</v>
      </c>
      <c r="D35" s="191">
        <v>112.75</v>
      </c>
      <c r="E35" s="191">
        <v>127.26</v>
      </c>
      <c r="F35" s="191">
        <v>139.24</v>
      </c>
      <c r="G35" s="191">
        <v>133.22999999999999</v>
      </c>
      <c r="H35" s="191">
        <v>144.77000000000001</v>
      </c>
      <c r="I35" s="191">
        <v>143.02000000000001</v>
      </c>
      <c r="J35" s="191">
        <v>157.71</v>
      </c>
      <c r="K35" s="191">
        <v>113.46</v>
      </c>
      <c r="L35" s="189">
        <v>95.367666666666665</v>
      </c>
      <c r="M35" s="183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</row>
    <row r="36" spans="1:24" ht="15" x14ac:dyDescent="0.25">
      <c r="A36" s="176" t="s">
        <v>301</v>
      </c>
      <c r="B36" s="191">
        <v>132.12</v>
      </c>
      <c r="C36" s="191">
        <v>119.38</v>
      </c>
      <c r="D36" s="191">
        <v>114.88</v>
      </c>
      <c r="E36" s="191">
        <v>128.96</v>
      </c>
      <c r="F36" s="191">
        <v>140.59</v>
      </c>
      <c r="G36" s="191">
        <v>135.05000000000001</v>
      </c>
      <c r="H36" s="191">
        <v>146.69</v>
      </c>
      <c r="I36" s="191">
        <v>144.97</v>
      </c>
      <c r="J36" s="191">
        <v>160.25</v>
      </c>
      <c r="K36" s="191">
        <v>115.67</v>
      </c>
      <c r="L36" s="189">
        <v>97.223666666666659</v>
      </c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</row>
    <row r="37" spans="1:24" ht="15" x14ac:dyDescent="0.25">
      <c r="A37" s="176" t="s">
        <v>302</v>
      </c>
      <c r="B37" s="191">
        <v>134.09</v>
      </c>
      <c r="C37" s="191">
        <v>122.21</v>
      </c>
      <c r="D37" s="191">
        <v>116.7</v>
      </c>
      <c r="E37" s="191">
        <v>130.85</v>
      </c>
      <c r="F37" s="191">
        <v>141.81</v>
      </c>
      <c r="G37" s="191">
        <v>136.83000000000001</v>
      </c>
      <c r="H37" s="191">
        <v>148.35</v>
      </c>
      <c r="I37" s="191">
        <v>146.61000000000001</v>
      </c>
      <c r="J37" s="191">
        <v>162.33000000000001</v>
      </c>
      <c r="K37" s="191">
        <v>118.37</v>
      </c>
      <c r="L37" s="189">
        <v>99.172666666666672</v>
      </c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</row>
    <row r="38" spans="1:24" ht="15" x14ac:dyDescent="0.25">
      <c r="A38" s="176" t="s">
        <v>303</v>
      </c>
      <c r="B38" s="191">
        <v>136.44999999999999</v>
      </c>
      <c r="C38" s="191">
        <v>125.68</v>
      </c>
      <c r="D38" s="191">
        <v>119.09</v>
      </c>
      <c r="E38" s="191">
        <v>132.65</v>
      </c>
      <c r="F38" s="191">
        <v>143.09</v>
      </c>
      <c r="G38" s="191">
        <v>138.99</v>
      </c>
      <c r="H38" s="191">
        <v>151.02000000000001</v>
      </c>
      <c r="I38" s="191">
        <v>148.88</v>
      </c>
      <c r="J38" s="191">
        <v>164.53</v>
      </c>
      <c r="K38" s="191">
        <v>121.6</v>
      </c>
      <c r="L38" s="189">
        <v>101.33866666666665</v>
      </c>
      <c r="M38" s="183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</row>
    <row r="39" spans="1:24" ht="15" x14ac:dyDescent="0.25">
      <c r="A39" s="176" t="s">
        <v>304</v>
      </c>
      <c r="B39" s="191">
        <v>138.75</v>
      </c>
      <c r="C39" s="191">
        <v>129.83000000000001</v>
      </c>
      <c r="D39" s="191">
        <v>121.3</v>
      </c>
      <c r="E39" s="191">
        <v>135.01</v>
      </c>
      <c r="F39" s="191">
        <v>144.25</v>
      </c>
      <c r="G39" s="191">
        <v>140.94</v>
      </c>
      <c r="H39" s="191">
        <v>153.51</v>
      </c>
      <c r="I39" s="191">
        <v>150.75</v>
      </c>
      <c r="J39" s="191">
        <v>166.67</v>
      </c>
      <c r="K39" s="191">
        <v>124.33</v>
      </c>
      <c r="L39" s="189">
        <v>103.67466666666667</v>
      </c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</row>
    <row r="40" spans="1:24" ht="15" x14ac:dyDescent="0.25">
      <c r="A40" s="176" t="s">
        <v>305</v>
      </c>
      <c r="B40" s="191">
        <v>140.91999999999999</v>
      </c>
      <c r="C40" s="191">
        <v>133.08000000000001</v>
      </c>
      <c r="D40" s="191">
        <v>123.55</v>
      </c>
      <c r="E40" s="191">
        <v>136.99</v>
      </c>
      <c r="F40" s="191">
        <v>145.11000000000001</v>
      </c>
      <c r="G40" s="191">
        <v>142.74</v>
      </c>
      <c r="H40" s="191">
        <v>155.57</v>
      </c>
      <c r="I40" s="191">
        <v>152.62</v>
      </c>
      <c r="J40" s="191">
        <v>168.66</v>
      </c>
      <c r="K40" s="191">
        <v>127.53</v>
      </c>
      <c r="L40" s="189">
        <v>105.78766666666667</v>
      </c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</row>
    <row r="41" spans="1:24" ht="15" x14ac:dyDescent="0.25">
      <c r="A41" s="176" t="s">
        <v>306</v>
      </c>
      <c r="B41" s="191">
        <v>143.38</v>
      </c>
      <c r="C41" s="191">
        <v>137.54</v>
      </c>
      <c r="D41" s="191">
        <v>126.45</v>
      </c>
      <c r="E41" s="191">
        <v>139.15</v>
      </c>
      <c r="F41" s="191">
        <v>145.69</v>
      </c>
      <c r="G41" s="191">
        <v>144.44</v>
      </c>
      <c r="H41" s="191">
        <v>157.77000000000001</v>
      </c>
      <c r="I41" s="191">
        <v>154.16999999999999</v>
      </c>
      <c r="J41" s="191">
        <v>171.27</v>
      </c>
      <c r="K41" s="191">
        <v>131.76</v>
      </c>
      <c r="L41" s="189">
        <v>108.276</v>
      </c>
      <c r="M41" s="183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</row>
    <row r="42" spans="1:24" ht="15" x14ac:dyDescent="0.25">
      <c r="A42" s="176" t="s">
        <v>307</v>
      </c>
      <c r="B42" s="191">
        <v>146.02000000000001</v>
      </c>
      <c r="C42" s="191">
        <v>141.78</v>
      </c>
      <c r="D42" s="191">
        <v>129.08000000000001</v>
      </c>
      <c r="E42" s="191">
        <v>141.88999999999999</v>
      </c>
      <c r="F42" s="191">
        <v>146.78</v>
      </c>
      <c r="G42" s="191">
        <v>146.15</v>
      </c>
      <c r="H42" s="191">
        <v>160.22999999999999</v>
      </c>
      <c r="I42" s="191">
        <v>156.25</v>
      </c>
      <c r="J42" s="191">
        <v>174.5</v>
      </c>
      <c r="K42" s="191">
        <v>135.6</v>
      </c>
      <c r="L42" s="189">
        <v>110.48566666666666</v>
      </c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</row>
    <row r="43" spans="1:24" ht="15" x14ac:dyDescent="0.25">
      <c r="A43" s="176" t="s">
        <v>308</v>
      </c>
      <c r="B43" s="191">
        <v>148.37</v>
      </c>
      <c r="C43" s="191">
        <v>145.91</v>
      </c>
      <c r="D43" s="191">
        <v>131.86000000000001</v>
      </c>
      <c r="E43" s="191">
        <v>144.22999999999999</v>
      </c>
      <c r="F43" s="191">
        <v>147.97</v>
      </c>
      <c r="G43" s="191">
        <v>147.68</v>
      </c>
      <c r="H43" s="191">
        <v>163.03</v>
      </c>
      <c r="I43" s="191">
        <v>157.96</v>
      </c>
      <c r="J43" s="191">
        <v>176.68</v>
      </c>
      <c r="K43" s="191">
        <v>138.69999999999999</v>
      </c>
      <c r="L43" s="189">
        <v>112.20366666666666</v>
      </c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</row>
    <row r="44" spans="1:24" ht="15" x14ac:dyDescent="0.25">
      <c r="A44" s="176" t="s">
        <v>309</v>
      </c>
      <c r="B44" s="191">
        <v>150.63</v>
      </c>
      <c r="C44" s="191">
        <v>150.43</v>
      </c>
      <c r="D44" s="191">
        <v>135.16999999999999</v>
      </c>
      <c r="E44" s="191">
        <v>146.91999999999999</v>
      </c>
      <c r="F44" s="191">
        <v>148.91</v>
      </c>
      <c r="G44" s="191">
        <v>148.94999999999999</v>
      </c>
      <c r="H44" s="191">
        <v>165.12</v>
      </c>
      <c r="I44" s="191">
        <v>159.55000000000001</v>
      </c>
      <c r="J44" s="191">
        <v>178.16</v>
      </c>
      <c r="K44" s="191">
        <v>141.26</v>
      </c>
      <c r="L44" s="189">
        <v>114.15733333333334</v>
      </c>
      <c r="M44" s="183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</row>
    <row r="45" spans="1:24" ht="15" x14ac:dyDescent="0.25">
      <c r="A45" s="176" t="s">
        <v>310</v>
      </c>
      <c r="B45" s="191">
        <v>153.01</v>
      </c>
      <c r="C45" s="191">
        <v>153.93</v>
      </c>
      <c r="D45" s="191">
        <v>138.27000000000001</v>
      </c>
      <c r="E45" s="191">
        <v>149.38999999999999</v>
      </c>
      <c r="F45" s="191">
        <v>150.46</v>
      </c>
      <c r="G45" s="191">
        <v>150.15</v>
      </c>
      <c r="H45" s="191">
        <v>167.48</v>
      </c>
      <c r="I45" s="191">
        <v>161.47</v>
      </c>
      <c r="J45" s="191">
        <v>180.4</v>
      </c>
      <c r="K45" s="191">
        <v>144.47</v>
      </c>
      <c r="L45" s="189">
        <v>115.87333333333333</v>
      </c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</row>
    <row r="46" spans="1:24" ht="15" x14ac:dyDescent="0.25">
      <c r="A46" s="176" t="s">
        <v>311</v>
      </c>
      <c r="B46" s="191">
        <v>155.51</v>
      </c>
      <c r="C46" s="191">
        <v>158.33000000000001</v>
      </c>
      <c r="D46" s="191">
        <v>141.78</v>
      </c>
      <c r="E46" s="191">
        <v>152.19</v>
      </c>
      <c r="F46" s="191">
        <v>151.28</v>
      </c>
      <c r="G46" s="191">
        <v>151.28</v>
      </c>
      <c r="H46" s="191">
        <v>169.23</v>
      </c>
      <c r="I46" s="191">
        <v>163.25</v>
      </c>
      <c r="J46" s="191">
        <v>182.5</v>
      </c>
      <c r="K46" s="191">
        <v>148.41</v>
      </c>
      <c r="L46" s="189">
        <v>117.892</v>
      </c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</row>
    <row r="47" spans="1:24" ht="15" x14ac:dyDescent="0.25">
      <c r="A47" s="176" t="s">
        <v>312</v>
      </c>
      <c r="B47" s="191">
        <v>158.38</v>
      </c>
      <c r="C47" s="191">
        <v>163.83000000000001</v>
      </c>
      <c r="D47" s="191">
        <v>145.69999999999999</v>
      </c>
      <c r="E47" s="191">
        <v>154.99</v>
      </c>
      <c r="F47" s="191">
        <v>152.12</v>
      </c>
      <c r="G47" s="191">
        <v>152.91999999999999</v>
      </c>
      <c r="H47" s="191">
        <v>171.66</v>
      </c>
      <c r="I47" s="191">
        <v>164.75</v>
      </c>
      <c r="J47" s="191">
        <v>184.52</v>
      </c>
      <c r="K47" s="191">
        <v>153.72999999999999</v>
      </c>
      <c r="L47" s="189">
        <v>120.71633333333334</v>
      </c>
      <c r="M47" s="183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</row>
    <row r="48" spans="1:24" ht="15" x14ac:dyDescent="0.25">
      <c r="A48" s="176" t="s">
        <v>313</v>
      </c>
      <c r="B48" s="191">
        <v>161.4</v>
      </c>
      <c r="C48" s="191">
        <v>169.66</v>
      </c>
      <c r="D48" s="191">
        <v>149.99</v>
      </c>
      <c r="E48" s="191">
        <v>157.94999999999999</v>
      </c>
      <c r="F48" s="191">
        <v>153.53</v>
      </c>
      <c r="G48" s="191">
        <v>153.99</v>
      </c>
      <c r="H48" s="191">
        <v>174.04</v>
      </c>
      <c r="I48" s="191">
        <v>166.59</v>
      </c>
      <c r="J48" s="191">
        <v>187.02</v>
      </c>
      <c r="K48" s="191">
        <v>159.31</v>
      </c>
      <c r="L48" s="189">
        <v>123.83366666666666</v>
      </c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</row>
    <row r="49" spans="1:24" ht="15" x14ac:dyDescent="0.25">
      <c r="A49" s="176" t="s">
        <v>314</v>
      </c>
      <c r="B49" s="191">
        <v>164.64</v>
      </c>
      <c r="C49" s="191">
        <v>174.55</v>
      </c>
      <c r="D49" s="191">
        <v>154.33000000000001</v>
      </c>
      <c r="E49" s="191">
        <v>161.44999999999999</v>
      </c>
      <c r="F49" s="191">
        <v>155.4</v>
      </c>
      <c r="G49" s="191">
        <v>155.66</v>
      </c>
      <c r="H49" s="191">
        <v>176.75</v>
      </c>
      <c r="I49" s="191">
        <v>168.62</v>
      </c>
      <c r="J49" s="191">
        <v>190.24</v>
      </c>
      <c r="K49" s="191">
        <v>164.56</v>
      </c>
      <c r="L49" s="189">
        <v>126.67733333333335</v>
      </c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</row>
    <row r="50" spans="1:24" ht="15" x14ac:dyDescent="0.25">
      <c r="A50" s="176" t="s">
        <v>315</v>
      </c>
      <c r="B50" s="191">
        <v>167.52</v>
      </c>
      <c r="C50" s="191">
        <v>178.61</v>
      </c>
      <c r="D50" s="191">
        <v>158.66</v>
      </c>
      <c r="E50" s="191">
        <v>164.46</v>
      </c>
      <c r="F50" s="191">
        <v>156.94</v>
      </c>
      <c r="G50" s="191">
        <v>156.72</v>
      </c>
      <c r="H50" s="191">
        <v>179.28</v>
      </c>
      <c r="I50" s="191">
        <v>170.47</v>
      </c>
      <c r="J50" s="191">
        <v>192.52</v>
      </c>
      <c r="K50" s="191">
        <v>169.71</v>
      </c>
      <c r="L50" s="189">
        <v>129.322</v>
      </c>
      <c r="M50" s="183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</row>
    <row r="51" spans="1:24" ht="15" x14ac:dyDescent="0.25">
      <c r="A51" s="176" t="s">
        <v>316</v>
      </c>
      <c r="B51" s="191">
        <v>170.2</v>
      </c>
      <c r="C51" s="191">
        <v>182.46</v>
      </c>
      <c r="D51" s="191">
        <v>162.08000000000001</v>
      </c>
      <c r="E51" s="191">
        <v>167.68</v>
      </c>
      <c r="F51" s="191">
        <v>158.32</v>
      </c>
      <c r="G51" s="191">
        <v>157.66</v>
      </c>
      <c r="H51" s="191">
        <v>180.94</v>
      </c>
      <c r="I51" s="191">
        <v>172.11</v>
      </c>
      <c r="J51" s="191">
        <v>195.11</v>
      </c>
      <c r="K51" s="191">
        <v>174.85</v>
      </c>
      <c r="L51" s="189">
        <v>131.756</v>
      </c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</row>
    <row r="52" spans="1:24" ht="15" x14ac:dyDescent="0.25">
      <c r="A52" s="176" t="s">
        <v>317</v>
      </c>
      <c r="B52" s="191">
        <v>173.58</v>
      </c>
      <c r="C52" s="191">
        <v>186.58</v>
      </c>
      <c r="D52" s="191">
        <v>166.7</v>
      </c>
      <c r="E52" s="191">
        <v>171.2</v>
      </c>
      <c r="F52" s="191">
        <v>160.29</v>
      </c>
      <c r="G52" s="191">
        <v>159.19</v>
      </c>
      <c r="H52" s="191">
        <v>183.85</v>
      </c>
      <c r="I52" s="191">
        <v>174.15</v>
      </c>
      <c r="J52" s="191">
        <v>198.74</v>
      </c>
      <c r="K52" s="191">
        <v>181.09</v>
      </c>
      <c r="L52" s="189">
        <v>135.01233333333334</v>
      </c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</row>
    <row r="53" spans="1:24" ht="15" x14ac:dyDescent="0.25">
      <c r="A53" s="176" t="s">
        <v>318</v>
      </c>
      <c r="B53" s="191">
        <v>177.47</v>
      </c>
      <c r="C53" s="191">
        <v>193.19</v>
      </c>
      <c r="D53" s="191">
        <v>171.09</v>
      </c>
      <c r="E53" s="191">
        <v>175.15</v>
      </c>
      <c r="F53" s="191">
        <v>161.71</v>
      </c>
      <c r="G53" s="191">
        <v>160.52000000000001</v>
      </c>
      <c r="H53" s="191">
        <v>186.53</v>
      </c>
      <c r="I53" s="191">
        <v>176.4</v>
      </c>
      <c r="J53" s="191">
        <v>203.09</v>
      </c>
      <c r="K53" s="191">
        <v>190.07</v>
      </c>
      <c r="L53" s="189">
        <v>138.83566666666667</v>
      </c>
      <c r="M53" s="183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</row>
    <row r="54" spans="1:24" ht="15" x14ac:dyDescent="0.25">
      <c r="A54" s="176" t="s">
        <v>319</v>
      </c>
      <c r="B54" s="191">
        <v>181.41</v>
      </c>
      <c r="C54" s="191">
        <v>197.5</v>
      </c>
      <c r="D54" s="191">
        <v>175.98</v>
      </c>
      <c r="E54" s="191">
        <v>179.78</v>
      </c>
      <c r="F54" s="191">
        <v>163.52000000000001</v>
      </c>
      <c r="G54" s="191">
        <v>162.21</v>
      </c>
      <c r="H54" s="191">
        <v>189.08</v>
      </c>
      <c r="I54" s="191">
        <v>178.23</v>
      </c>
      <c r="J54" s="191">
        <v>208.25</v>
      </c>
      <c r="K54" s="191">
        <v>198.63</v>
      </c>
      <c r="L54" s="189">
        <v>143.29866666666666</v>
      </c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</row>
    <row r="55" spans="1:24" ht="15" x14ac:dyDescent="0.25">
      <c r="A55" s="176" t="s">
        <v>320</v>
      </c>
      <c r="B55" s="191">
        <v>185.98</v>
      </c>
      <c r="C55" s="191">
        <v>203.26</v>
      </c>
      <c r="D55" s="191">
        <v>181.26</v>
      </c>
      <c r="E55" s="191">
        <v>185.29</v>
      </c>
      <c r="F55" s="191">
        <v>165.62</v>
      </c>
      <c r="G55" s="191">
        <v>164.17</v>
      </c>
      <c r="H55" s="191">
        <v>191.35</v>
      </c>
      <c r="I55" s="191">
        <v>180.08</v>
      </c>
      <c r="J55" s="191">
        <v>215.02</v>
      </c>
      <c r="K55" s="191">
        <v>209.13</v>
      </c>
      <c r="L55" s="189">
        <v>148.21</v>
      </c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</row>
    <row r="56" spans="1:24" ht="15" x14ac:dyDescent="0.25">
      <c r="A56" s="176" t="s">
        <v>321</v>
      </c>
      <c r="B56" s="191">
        <v>190.78</v>
      </c>
      <c r="C56" s="191">
        <v>208.8</v>
      </c>
      <c r="D56" s="191">
        <v>185.77</v>
      </c>
      <c r="E56" s="191">
        <v>191.43</v>
      </c>
      <c r="F56" s="191">
        <v>168.23</v>
      </c>
      <c r="G56" s="191">
        <v>165.5</v>
      </c>
      <c r="H56" s="191">
        <v>193.95</v>
      </c>
      <c r="I56" s="191">
        <v>182.09</v>
      </c>
      <c r="J56" s="191">
        <v>222.3</v>
      </c>
      <c r="K56" s="191">
        <v>221.22</v>
      </c>
      <c r="L56" s="189">
        <v>152.71666666666667</v>
      </c>
      <c r="M56" s="183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</row>
    <row r="57" spans="1:24" ht="15" x14ac:dyDescent="0.25">
      <c r="A57" s="176" t="s">
        <v>322</v>
      </c>
      <c r="B57" s="191">
        <v>195.48</v>
      </c>
      <c r="C57" s="191">
        <v>213.49</v>
      </c>
      <c r="D57" s="191">
        <v>191.86</v>
      </c>
      <c r="E57" s="191">
        <v>197.78</v>
      </c>
      <c r="F57" s="191">
        <v>170.02</v>
      </c>
      <c r="G57" s="191">
        <v>167.53</v>
      </c>
      <c r="H57" s="191">
        <v>196.69</v>
      </c>
      <c r="I57" s="191">
        <v>183.81</v>
      </c>
      <c r="J57" s="191">
        <v>229.21</v>
      </c>
      <c r="K57" s="191">
        <v>231.54</v>
      </c>
      <c r="L57" s="189">
        <v>157.53533333333334</v>
      </c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</row>
    <row r="58" spans="1:24" ht="15" x14ac:dyDescent="0.25">
      <c r="A58" s="176" t="s">
        <v>323</v>
      </c>
      <c r="B58" s="191">
        <v>200.33</v>
      </c>
      <c r="C58" s="191">
        <v>218.69</v>
      </c>
      <c r="D58" s="191">
        <v>196.2</v>
      </c>
      <c r="E58" s="191">
        <v>204.73</v>
      </c>
      <c r="F58" s="191">
        <v>173.09</v>
      </c>
      <c r="G58" s="191">
        <v>169.75</v>
      </c>
      <c r="H58" s="191">
        <v>198.47</v>
      </c>
      <c r="I58" s="191">
        <v>185.42</v>
      </c>
      <c r="J58" s="191">
        <v>238.55</v>
      </c>
      <c r="K58" s="191">
        <v>242.42</v>
      </c>
      <c r="L58" s="189">
        <v>163.48233333333334</v>
      </c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</row>
    <row r="59" spans="1:24" ht="15" x14ac:dyDescent="0.25">
      <c r="A59" s="176" t="s">
        <v>324</v>
      </c>
      <c r="B59" s="191">
        <v>205.62</v>
      </c>
      <c r="C59" s="191">
        <v>222.44</v>
      </c>
      <c r="D59" s="191">
        <v>200.66</v>
      </c>
      <c r="E59" s="191">
        <v>212.57</v>
      </c>
      <c r="F59" s="191">
        <v>175.33</v>
      </c>
      <c r="G59" s="191">
        <v>172.33</v>
      </c>
      <c r="H59" s="191">
        <v>201.54</v>
      </c>
      <c r="I59" s="191">
        <v>187.23</v>
      </c>
      <c r="J59" s="191">
        <v>249.54</v>
      </c>
      <c r="K59" s="191">
        <v>254.46</v>
      </c>
      <c r="L59" s="189">
        <v>169.34933333333333</v>
      </c>
      <c r="M59" s="183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</row>
    <row r="60" spans="1:24" ht="15" x14ac:dyDescent="0.25">
      <c r="A60" s="176" t="s">
        <v>325</v>
      </c>
      <c r="B60" s="191">
        <v>211.04</v>
      </c>
      <c r="C60" s="191">
        <v>225.72</v>
      </c>
      <c r="D60" s="191">
        <v>207.48</v>
      </c>
      <c r="E60" s="191">
        <v>220.53</v>
      </c>
      <c r="F60" s="191">
        <v>178.7</v>
      </c>
      <c r="G60" s="191">
        <v>175.14</v>
      </c>
      <c r="H60" s="191">
        <v>203.51</v>
      </c>
      <c r="I60" s="191">
        <v>188.65</v>
      </c>
      <c r="J60" s="191">
        <v>259.95</v>
      </c>
      <c r="K60" s="191">
        <v>266.29000000000002</v>
      </c>
      <c r="L60" s="189">
        <v>174.58066666666664</v>
      </c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</row>
    <row r="61" spans="1:24" ht="15" x14ac:dyDescent="0.25">
      <c r="A61" s="176" t="s">
        <v>326</v>
      </c>
      <c r="B61" s="191">
        <v>215.53</v>
      </c>
      <c r="C61" s="191">
        <v>227.17</v>
      </c>
      <c r="D61" s="191">
        <v>211.11</v>
      </c>
      <c r="E61" s="191">
        <v>227.14</v>
      </c>
      <c r="F61" s="191">
        <v>182.77</v>
      </c>
      <c r="G61" s="191">
        <v>178.96</v>
      </c>
      <c r="H61" s="191">
        <v>206.34</v>
      </c>
      <c r="I61" s="191">
        <v>189.99</v>
      </c>
      <c r="J61" s="191">
        <v>270.06</v>
      </c>
      <c r="K61" s="191">
        <v>273.98</v>
      </c>
      <c r="L61" s="189">
        <v>179.54100000000003</v>
      </c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</row>
    <row r="62" spans="1:24" ht="15" x14ac:dyDescent="0.25">
      <c r="A62" s="176" t="s">
        <v>327</v>
      </c>
      <c r="B62" s="191">
        <v>218.67</v>
      </c>
      <c r="C62" s="191">
        <v>227.15</v>
      </c>
      <c r="D62" s="191">
        <v>214.2</v>
      </c>
      <c r="E62" s="191">
        <v>231.73</v>
      </c>
      <c r="F62" s="191">
        <v>186.54</v>
      </c>
      <c r="G62" s="191">
        <v>182.14</v>
      </c>
      <c r="H62" s="191">
        <v>208.09</v>
      </c>
      <c r="I62" s="191">
        <v>190.59</v>
      </c>
      <c r="J62" s="191">
        <v>277.33999999999997</v>
      </c>
      <c r="K62" s="191">
        <v>278.64999999999998</v>
      </c>
      <c r="L62" s="189">
        <v>183.32399999999998</v>
      </c>
      <c r="M62" s="183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</row>
    <row r="63" spans="1:24" ht="15" x14ac:dyDescent="0.25">
      <c r="A63" s="176" t="s">
        <v>328</v>
      </c>
      <c r="B63" s="191">
        <v>220.18</v>
      </c>
      <c r="C63" s="191">
        <v>225.91</v>
      </c>
      <c r="D63" s="191">
        <v>215.55</v>
      </c>
      <c r="E63" s="191">
        <v>234.1</v>
      </c>
      <c r="F63" s="191">
        <v>189.03</v>
      </c>
      <c r="G63" s="191">
        <v>184.42</v>
      </c>
      <c r="H63" s="191">
        <v>208.93</v>
      </c>
      <c r="I63" s="191">
        <v>190.93</v>
      </c>
      <c r="J63" s="191">
        <v>281.39</v>
      </c>
      <c r="K63" s="191">
        <v>279.38</v>
      </c>
      <c r="L63" s="189">
        <v>183.99833333333333</v>
      </c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</row>
    <row r="64" spans="1:24" ht="15" x14ac:dyDescent="0.25">
      <c r="A64" s="176" t="s">
        <v>329</v>
      </c>
      <c r="B64" s="191">
        <v>220.52</v>
      </c>
      <c r="C64" s="191">
        <v>223.74</v>
      </c>
      <c r="D64" s="191">
        <v>215.44</v>
      </c>
      <c r="E64" s="191">
        <v>235.07</v>
      </c>
      <c r="F64" s="191">
        <v>191.14</v>
      </c>
      <c r="G64" s="191">
        <v>186.84</v>
      </c>
      <c r="H64" s="191">
        <v>209.66</v>
      </c>
      <c r="I64" s="191">
        <v>190.38</v>
      </c>
      <c r="J64" s="191">
        <v>282.66000000000003</v>
      </c>
      <c r="K64" s="191">
        <v>276.91000000000003</v>
      </c>
      <c r="L64" s="189">
        <v>182.81833333333336</v>
      </c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</row>
    <row r="65" spans="1:24" ht="15" x14ac:dyDescent="0.25">
      <c r="A65" s="176" t="s">
        <v>330</v>
      </c>
      <c r="B65" s="191">
        <v>221.55</v>
      </c>
      <c r="C65" s="191">
        <v>222.38</v>
      </c>
      <c r="D65" s="191">
        <v>215.96</v>
      </c>
      <c r="E65" s="191">
        <v>237.8</v>
      </c>
      <c r="F65" s="191">
        <v>193.43</v>
      </c>
      <c r="G65" s="191">
        <v>189.81</v>
      </c>
      <c r="H65" s="191">
        <v>210.3</v>
      </c>
      <c r="I65" s="191">
        <v>189.6</v>
      </c>
      <c r="J65" s="191">
        <v>288.35000000000002</v>
      </c>
      <c r="K65" s="191">
        <v>274.39</v>
      </c>
      <c r="L65" s="189">
        <v>183.64700000000002</v>
      </c>
      <c r="M65" s="183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</row>
    <row r="66" spans="1:24" ht="15" x14ac:dyDescent="0.25">
      <c r="A66" s="176" t="s">
        <v>331</v>
      </c>
      <c r="B66" s="191">
        <v>222.88</v>
      </c>
      <c r="C66" s="191">
        <v>222.12</v>
      </c>
      <c r="D66" s="191">
        <v>216.9</v>
      </c>
      <c r="E66" s="191">
        <v>238.71</v>
      </c>
      <c r="F66" s="191">
        <v>196.06</v>
      </c>
      <c r="G66" s="191">
        <v>192.64</v>
      </c>
      <c r="H66" s="191">
        <v>212.05</v>
      </c>
      <c r="I66" s="191">
        <v>190.27</v>
      </c>
      <c r="J66" s="191">
        <v>288.91000000000003</v>
      </c>
      <c r="K66" s="191">
        <v>275.73</v>
      </c>
      <c r="L66" s="189">
        <v>184.4186666666667</v>
      </c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</row>
    <row r="67" spans="1:24" ht="15" x14ac:dyDescent="0.25">
      <c r="A67" s="176" t="s">
        <v>332</v>
      </c>
      <c r="B67" s="191">
        <v>222.26</v>
      </c>
      <c r="C67" s="191">
        <v>221.7</v>
      </c>
      <c r="D67" s="191">
        <v>218.15</v>
      </c>
      <c r="E67" s="191">
        <v>237.93</v>
      </c>
      <c r="F67" s="191">
        <v>197.45</v>
      </c>
      <c r="G67" s="191">
        <v>193.84</v>
      </c>
      <c r="H67" s="191">
        <v>211.67</v>
      </c>
      <c r="I67" s="191">
        <v>188.48</v>
      </c>
      <c r="J67" s="191">
        <v>289.10000000000002</v>
      </c>
      <c r="K67" s="191">
        <v>271.33</v>
      </c>
      <c r="L67" s="189">
        <v>181.62</v>
      </c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</row>
    <row r="68" spans="1:24" ht="15" x14ac:dyDescent="0.25">
      <c r="A68" s="176" t="s">
        <v>333</v>
      </c>
      <c r="B68" s="191">
        <v>219.4</v>
      </c>
      <c r="C68" s="191">
        <v>219.52</v>
      </c>
      <c r="D68" s="191">
        <v>216.29</v>
      </c>
      <c r="E68" s="191">
        <v>233.64</v>
      </c>
      <c r="F68" s="191">
        <v>196.82</v>
      </c>
      <c r="G68" s="191">
        <v>195.41</v>
      </c>
      <c r="H68" s="191">
        <v>211.04</v>
      </c>
      <c r="I68" s="191">
        <v>186.11</v>
      </c>
      <c r="J68" s="191">
        <v>285.39999999999998</v>
      </c>
      <c r="K68" s="191">
        <v>260.72000000000003</v>
      </c>
      <c r="L68" s="189">
        <v>178.26000000000002</v>
      </c>
      <c r="M68" s="183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</row>
    <row r="69" spans="1:24" ht="15" x14ac:dyDescent="0.25">
      <c r="A69" s="176" t="s">
        <v>334</v>
      </c>
      <c r="B69" s="191">
        <v>215.39</v>
      </c>
      <c r="C69" s="191">
        <v>216.54</v>
      </c>
      <c r="D69" s="191">
        <v>215.48</v>
      </c>
      <c r="E69" s="191">
        <v>228.91</v>
      </c>
      <c r="F69" s="191">
        <v>196.81</v>
      </c>
      <c r="G69" s="191">
        <v>195.94</v>
      </c>
      <c r="H69" s="191">
        <v>208.42</v>
      </c>
      <c r="I69" s="191">
        <v>182.6</v>
      </c>
      <c r="J69" s="191">
        <v>277.99</v>
      </c>
      <c r="K69" s="191">
        <v>246.65</v>
      </c>
      <c r="L69" s="189">
        <v>175.36866666666666</v>
      </c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</row>
    <row r="70" spans="1:24" ht="15" x14ac:dyDescent="0.25">
      <c r="A70" s="176" t="s">
        <v>335</v>
      </c>
      <c r="B70" s="191">
        <v>210.44</v>
      </c>
      <c r="C70" s="191">
        <v>213.59</v>
      </c>
      <c r="D70" s="191">
        <v>213.38</v>
      </c>
      <c r="E70" s="191">
        <v>222.09</v>
      </c>
      <c r="F70" s="191">
        <v>195.28</v>
      </c>
      <c r="G70" s="191">
        <v>194.98</v>
      </c>
      <c r="H70" s="191">
        <v>206.02</v>
      </c>
      <c r="I70" s="191">
        <v>179.79</v>
      </c>
      <c r="J70" s="191">
        <v>271.14</v>
      </c>
      <c r="K70" s="191">
        <v>230.64</v>
      </c>
      <c r="L70" s="189">
        <v>171.57333333333335</v>
      </c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</row>
    <row r="71" spans="1:24" ht="15" x14ac:dyDescent="0.25">
      <c r="A71" s="176" t="s">
        <v>336</v>
      </c>
      <c r="B71" s="191">
        <v>204.52</v>
      </c>
      <c r="C71" s="191">
        <v>208.98</v>
      </c>
      <c r="D71" s="191">
        <v>210.13</v>
      </c>
      <c r="E71" s="191">
        <v>213.57</v>
      </c>
      <c r="F71" s="191">
        <v>193.85</v>
      </c>
      <c r="G71" s="191">
        <v>194.24</v>
      </c>
      <c r="H71" s="191">
        <v>203.92</v>
      </c>
      <c r="I71" s="191">
        <v>175.77</v>
      </c>
      <c r="J71" s="191">
        <v>261.33999999999997</v>
      </c>
      <c r="K71" s="191">
        <v>214.46</v>
      </c>
      <c r="L71" s="189">
        <v>166.66566666666668</v>
      </c>
      <c r="M71" s="183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</row>
    <row r="72" spans="1:24" ht="15" x14ac:dyDescent="0.25">
      <c r="A72" s="176" t="s">
        <v>337</v>
      </c>
      <c r="B72" s="191">
        <v>199.37</v>
      </c>
      <c r="C72" s="191">
        <v>205.12</v>
      </c>
      <c r="D72" s="191">
        <v>207.95</v>
      </c>
      <c r="E72" s="191">
        <v>205.26</v>
      </c>
      <c r="F72" s="191">
        <v>191.37</v>
      </c>
      <c r="G72" s="191">
        <v>194.39</v>
      </c>
      <c r="H72" s="191">
        <v>201.31</v>
      </c>
      <c r="I72" s="191">
        <v>172.6</v>
      </c>
      <c r="J72" s="191">
        <v>250.76</v>
      </c>
      <c r="K72" s="191">
        <v>202.51</v>
      </c>
      <c r="L72" s="189">
        <v>161.95033333333336</v>
      </c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</row>
    <row r="73" spans="1:24" ht="15" x14ac:dyDescent="0.25">
      <c r="A73" s="176" t="s">
        <v>338</v>
      </c>
      <c r="B73" s="191">
        <v>193.49</v>
      </c>
      <c r="C73" s="191">
        <v>201.84</v>
      </c>
      <c r="D73" s="191">
        <v>204.03</v>
      </c>
      <c r="E73" s="191">
        <v>196.23</v>
      </c>
      <c r="F73" s="191">
        <v>189.01</v>
      </c>
      <c r="G73" s="191">
        <v>192.02</v>
      </c>
      <c r="H73" s="191">
        <v>198.74</v>
      </c>
      <c r="I73" s="191">
        <v>168</v>
      </c>
      <c r="J73" s="191">
        <v>238.85</v>
      </c>
      <c r="K73" s="191">
        <v>192.65</v>
      </c>
      <c r="L73" s="189">
        <v>156.02733333333333</v>
      </c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</row>
    <row r="74" spans="1:24" ht="15" x14ac:dyDescent="0.25">
      <c r="A74" s="176" t="s">
        <v>339</v>
      </c>
      <c r="B74" s="191">
        <v>192.3</v>
      </c>
      <c r="C74" s="191">
        <v>203.59</v>
      </c>
      <c r="D74" s="191">
        <v>202.5</v>
      </c>
      <c r="E74" s="191">
        <v>194.9</v>
      </c>
      <c r="F74" s="191">
        <v>188.04</v>
      </c>
      <c r="G74" s="191">
        <v>192.47</v>
      </c>
      <c r="H74" s="191">
        <v>199.53</v>
      </c>
      <c r="I74" s="191">
        <v>168.99</v>
      </c>
      <c r="J74" s="191">
        <v>233.65</v>
      </c>
      <c r="K74" s="191">
        <v>187</v>
      </c>
      <c r="L74" s="189">
        <v>150.05799999999999</v>
      </c>
      <c r="M74" s="183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</row>
    <row r="75" spans="1:24" ht="15" x14ac:dyDescent="0.25">
      <c r="A75" s="176" t="s">
        <v>340</v>
      </c>
      <c r="B75" s="191">
        <v>189.61</v>
      </c>
      <c r="C75" s="191">
        <v>199.89</v>
      </c>
      <c r="D75" s="191">
        <v>200.18</v>
      </c>
      <c r="E75" s="191">
        <v>191.48</v>
      </c>
      <c r="F75" s="191">
        <v>187.21</v>
      </c>
      <c r="G75" s="191">
        <v>192.4</v>
      </c>
      <c r="H75" s="191">
        <v>198.02</v>
      </c>
      <c r="I75" s="191">
        <v>166.58</v>
      </c>
      <c r="J75" s="191">
        <v>226.79</v>
      </c>
      <c r="K75" s="191">
        <v>182.98</v>
      </c>
      <c r="L75" s="189">
        <v>147.90866666666668</v>
      </c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</row>
    <row r="76" spans="1:24" ht="15" x14ac:dyDescent="0.25">
      <c r="A76" s="176" t="s">
        <v>341</v>
      </c>
      <c r="B76" s="191">
        <v>188.74</v>
      </c>
      <c r="C76" s="191">
        <v>198.41</v>
      </c>
      <c r="D76" s="191">
        <v>199.46</v>
      </c>
      <c r="E76" s="191">
        <v>190.31</v>
      </c>
      <c r="F76" s="191">
        <v>185.82</v>
      </c>
      <c r="G76" s="191">
        <v>192.35</v>
      </c>
      <c r="H76" s="191">
        <v>197.05</v>
      </c>
      <c r="I76" s="191">
        <v>165.03</v>
      </c>
      <c r="J76" s="191">
        <v>222.95</v>
      </c>
      <c r="K76" s="191">
        <v>184.43</v>
      </c>
      <c r="L76" s="189">
        <v>148.2346666666667</v>
      </c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</row>
    <row r="77" spans="1:24" ht="15" x14ac:dyDescent="0.25">
      <c r="A77" s="176" t="s">
        <v>342</v>
      </c>
      <c r="B77" s="191">
        <v>188.65</v>
      </c>
      <c r="C77" s="191">
        <v>197.77</v>
      </c>
      <c r="D77" s="191">
        <v>200.04</v>
      </c>
      <c r="E77" s="191">
        <v>188.36</v>
      </c>
      <c r="F77" s="191">
        <v>186.58</v>
      </c>
      <c r="G77" s="191">
        <v>193.63</v>
      </c>
      <c r="H77" s="191">
        <v>197.87</v>
      </c>
      <c r="I77" s="191">
        <v>164.26</v>
      </c>
      <c r="J77" s="191">
        <v>221.18</v>
      </c>
      <c r="K77" s="191">
        <v>186.2</v>
      </c>
      <c r="L77" s="189">
        <v>147.97166666666666</v>
      </c>
      <c r="M77" s="183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</row>
    <row r="78" spans="1:24" ht="15" x14ac:dyDescent="0.25">
      <c r="A78" s="176" t="s">
        <v>343</v>
      </c>
      <c r="B78" s="191">
        <v>186.93</v>
      </c>
      <c r="C78" s="191">
        <v>196.51</v>
      </c>
      <c r="D78" s="191">
        <v>200.07</v>
      </c>
      <c r="E78" s="191">
        <v>185.66</v>
      </c>
      <c r="F78" s="191">
        <v>183.57</v>
      </c>
      <c r="G78" s="191">
        <v>192.64</v>
      </c>
      <c r="H78" s="191">
        <v>195.12</v>
      </c>
      <c r="I78" s="191">
        <v>163</v>
      </c>
      <c r="J78" s="191">
        <v>217.79</v>
      </c>
      <c r="K78" s="191">
        <v>185.21</v>
      </c>
      <c r="L78" s="189">
        <v>146.29499999999999</v>
      </c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  <row r="79" spans="1:24" ht="15" x14ac:dyDescent="0.25">
      <c r="A79" s="176" t="s">
        <v>344</v>
      </c>
      <c r="B79" s="191">
        <v>185.95</v>
      </c>
      <c r="C79" s="191">
        <v>195.24</v>
      </c>
      <c r="D79" s="191">
        <v>198.33</v>
      </c>
      <c r="E79" s="191">
        <v>184.48</v>
      </c>
      <c r="F79" s="191">
        <v>182.22</v>
      </c>
      <c r="G79" s="191">
        <v>193</v>
      </c>
      <c r="H79" s="191">
        <v>196.61</v>
      </c>
      <c r="I79" s="191">
        <v>161.88999999999999</v>
      </c>
      <c r="J79" s="191">
        <v>214.01</v>
      </c>
      <c r="K79" s="191">
        <v>184.37</v>
      </c>
      <c r="L79" s="189">
        <v>146.16633333333331</v>
      </c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</row>
    <row r="80" spans="1:24" ht="15" x14ac:dyDescent="0.25">
      <c r="A80" s="176" t="s">
        <v>345</v>
      </c>
      <c r="B80" s="191">
        <v>182.92</v>
      </c>
      <c r="C80" s="191">
        <v>194.48</v>
      </c>
      <c r="D80" s="191">
        <v>196.28</v>
      </c>
      <c r="E80" s="191">
        <v>179.92</v>
      </c>
      <c r="F80" s="191">
        <v>180.37</v>
      </c>
      <c r="G80" s="191">
        <v>191.99</v>
      </c>
      <c r="H80" s="191">
        <v>192.7</v>
      </c>
      <c r="I80" s="191">
        <v>159.66999999999999</v>
      </c>
      <c r="J80" s="191">
        <v>208.83</v>
      </c>
      <c r="K80" s="191">
        <v>180.21</v>
      </c>
      <c r="L80" s="189">
        <v>143.96833333333333</v>
      </c>
      <c r="M80" s="183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</row>
    <row r="81" spans="1:24" ht="15" x14ac:dyDescent="0.25">
      <c r="A81" s="176" t="s">
        <v>346</v>
      </c>
      <c r="B81" s="191">
        <v>181.1</v>
      </c>
      <c r="C81" s="191">
        <v>193.27</v>
      </c>
      <c r="D81" s="191">
        <v>196.42</v>
      </c>
      <c r="E81" s="191">
        <v>178.14</v>
      </c>
      <c r="F81" s="191">
        <v>178.93</v>
      </c>
      <c r="G81" s="191">
        <v>189.15</v>
      </c>
      <c r="H81" s="191">
        <v>191.02</v>
      </c>
      <c r="I81" s="191">
        <v>159.1</v>
      </c>
      <c r="J81" s="191">
        <v>205</v>
      </c>
      <c r="K81" s="191">
        <v>176.59</v>
      </c>
      <c r="L81" s="189">
        <v>142.24533333333335</v>
      </c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</row>
    <row r="82" spans="1:24" ht="15" x14ac:dyDescent="0.25">
      <c r="A82" s="176" t="s">
        <v>347</v>
      </c>
      <c r="B82" s="191">
        <v>177.04</v>
      </c>
      <c r="C82" s="191">
        <v>190.42</v>
      </c>
      <c r="D82" s="191">
        <v>192.99</v>
      </c>
      <c r="E82" s="191">
        <v>172.84</v>
      </c>
      <c r="F82" s="191">
        <v>176.11</v>
      </c>
      <c r="G82" s="191">
        <v>187.65</v>
      </c>
      <c r="H82" s="191">
        <v>186.67</v>
      </c>
      <c r="I82" s="191">
        <v>155.13</v>
      </c>
      <c r="J82" s="191">
        <v>198.57</v>
      </c>
      <c r="K82" s="191">
        <v>171.99</v>
      </c>
      <c r="L82" s="189">
        <v>140.60733333333334</v>
      </c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</row>
    <row r="83" spans="1:24" ht="15" x14ac:dyDescent="0.25">
      <c r="A83" s="176" t="s">
        <v>348</v>
      </c>
      <c r="B83" s="191">
        <v>175.53</v>
      </c>
      <c r="C83" s="191">
        <v>189.52</v>
      </c>
      <c r="D83" s="191">
        <v>191.7</v>
      </c>
      <c r="E83" s="191">
        <v>171.21</v>
      </c>
      <c r="F83" s="191">
        <v>174.97</v>
      </c>
      <c r="G83" s="191">
        <v>188.81</v>
      </c>
      <c r="H83" s="191">
        <v>186.07</v>
      </c>
      <c r="I83" s="191">
        <v>153.79</v>
      </c>
      <c r="J83" s="191">
        <v>194.72</v>
      </c>
      <c r="K83" s="191">
        <v>168.42</v>
      </c>
      <c r="L83" s="189">
        <v>139.92066666666668</v>
      </c>
      <c r="M83" s="183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</row>
    <row r="84" spans="1:24" ht="15" x14ac:dyDescent="0.25">
      <c r="A84" s="176" t="s">
        <v>349</v>
      </c>
      <c r="B84" s="191">
        <v>176.07</v>
      </c>
      <c r="C84" s="191">
        <v>188.26</v>
      </c>
      <c r="D84" s="191">
        <v>190.77</v>
      </c>
      <c r="E84" s="191">
        <v>172.34</v>
      </c>
      <c r="F84" s="191">
        <v>176.61</v>
      </c>
      <c r="G84" s="191">
        <v>188.66</v>
      </c>
      <c r="H84" s="191">
        <v>187.7</v>
      </c>
      <c r="I84" s="191">
        <v>154.84</v>
      </c>
      <c r="J84" s="191">
        <v>195.87</v>
      </c>
      <c r="K84" s="191">
        <v>168.12</v>
      </c>
      <c r="L84" s="189">
        <v>139.23033333333333</v>
      </c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</row>
    <row r="85" spans="1:24" ht="15" x14ac:dyDescent="0.25">
      <c r="A85" s="176" t="s">
        <v>350</v>
      </c>
      <c r="B85" s="191">
        <v>176.36</v>
      </c>
      <c r="C85" s="191">
        <v>188.95</v>
      </c>
      <c r="D85" s="191">
        <v>188.72</v>
      </c>
      <c r="E85" s="191">
        <v>173.31</v>
      </c>
      <c r="F85" s="191">
        <v>176.75</v>
      </c>
      <c r="G85" s="191">
        <v>190.41</v>
      </c>
      <c r="H85" s="191">
        <v>188.31</v>
      </c>
      <c r="I85" s="191">
        <v>154.69999999999999</v>
      </c>
      <c r="J85" s="191">
        <v>197.13</v>
      </c>
      <c r="K85" s="191">
        <v>167.78</v>
      </c>
      <c r="L85" s="189">
        <v>137.24533333333332</v>
      </c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</row>
    <row r="86" spans="1:24" ht="15" x14ac:dyDescent="0.25">
      <c r="A86" s="176" t="s">
        <v>351</v>
      </c>
      <c r="B86" s="191">
        <v>177.14</v>
      </c>
      <c r="C86" s="191">
        <v>187.45</v>
      </c>
      <c r="D86" s="191">
        <v>189.34</v>
      </c>
      <c r="E86" s="191">
        <v>173.87</v>
      </c>
      <c r="F86" s="191">
        <v>176.63</v>
      </c>
      <c r="G86" s="191">
        <v>191.51</v>
      </c>
      <c r="H86" s="191">
        <v>189.52</v>
      </c>
      <c r="I86" s="191">
        <v>154.82</v>
      </c>
      <c r="J86" s="191">
        <v>200.45</v>
      </c>
      <c r="K86" s="191">
        <v>169.25</v>
      </c>
      <c r="L86" s="189">
        <v>137.00333333333333</v>
      </c>
      <c r="M86" s="183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</row>
    <row r="87" spans="1:24" ht="15" x14ac:dyDescent="0.25">
      <c r="A87" s="176" t="s">
        <v>352</v>
      </c>
      <c r="B87" s="191">
        <v>179.91</v>
      </c>
      <c r="C87" s="191">
        <v>187.19</v>
      </c>
      <c r="D87" s="191">
        <v>189.69</v>
      </c>
      <c r="E87" s="191">
        <v>176.92</v>
      </c>
      <c r="F87" s="191">
        <v>178.86</v>
      </c>
      <c r="G87" s="191">
        <v>193.84</v>
      </c>
      <c r="H87" s="191">
        <v>191.06</v>
      </c>
      <c r="I87" s="191">
        <v>156.78</v>
      </c>
      <c r="J87" s="191">
        <v>208.88</v>
      </c>
      <c r="K87" s="191">
        <v>173.8</v>
      </c>
      <c r="L87" s="189">
        <v>140.10166666666666</v>
      </c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</row>
    <row r="88" spans="1:24" ht="15" x14ac:dyDescent="0.25">
      <c r="A88" s="176" t="s">
        <v>353</v>
      </c>
      <c r="B88" s="191">
        <v>182.08</v>
      </c>
      <c r="C88" s="191">
        <v>187.91</v>
      </c>
      <c r="D88" s="191">
        <v>189.96</v>
      </c>
      <c r="E88" s="191">
        <v>179.03</v>
      </c>
      <c r="F88" s="191">
        <v>178.84</v>
      </c>
      <c r="G88" s="191">
        <v>196.97</v>
      </c>
      <c r="H88" s="191">
        <v>193.1</v>
      </c>
      <c r="I88" s="191">
        <v>157.78</v>
      </c>
      <c r="J88" s="191">
        <v>215.18</v>
      </c>
      <c r="K88" s="191">
        <v>177.79</v>
      </c>
      <c r="L88" s="189">
        <v>142.27500000000001</v>
      </c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</row>
    <row r="89" spans="1:24" ht="15" x14ac:dyDescent="0.25">
      <c r="A89" s="176" t="s">
        <v>354</v>
      </c>
      <c r="B89" s="191">
        <v>184.83</v>
      </c>
      <c r="C89" s="191">
        <v>189.57</v>
      </c>
      <c r="D89" s="191">
        <v>190.76</v>
      </c>
      <c r="E89" s="191">
        <v>181.44</v>
      </c>
      <c r="F89" s="191">
        <v>180.99</v>
      </c>
      <c r="G89" s="191">
        <v>199.51</v>
      </c>
      <c r="H89" s="191">
        <v>195.34</v>
      </c>
      <c r="I89" s="191">
        <v>158.81</v>
      </c>
      <c r="J89" s="191">
        <v>220.29</v>
      </c>
      <c r="K89" s="191">
        <v>184.67</v>
      </c>
      <c r="L89" s="189">
        <v>144.55199999999999</v>
      </c>
      <c r="M89" s="183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</row>
    <row r="90" spans="1:24" ht="15" x14ac:dyDescent="0.25">
      <c r="A90" s="176" t="s">
        <v>355</v>
      </c>
      <c r="B90" s="191">
        <v>188.65</v>
      </c>
      <c r="C90" s="191">
        <v>191.84</v>
      </c>
      <c r="D90" s="191">
        <v>192.13</v>
      </c>
      <c r="E90" s="191">
        <v>185.74</v>
      </c>
      <c r="F90" s="191">
        <v>182.82</v>
      </c>
      <c r="G90" s="191">
        <v>202.6</v>
      </c>
      <c r="H90" s="191">
        <v>197.51</v>
      </c>
      <c r="I90" s="191">
        <v>161.6</v>
      </c>
      <c r="J90" s="191">
        <v>226.64</v>
      </c>
      <c r="K90" s="191">
        <v>192.75</v>
      </c>
      <c r="L90" s="189">
        <v>148.17966666666666</v>
      </c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</row>
    <row r="91" spans="1:24" ht="15" x14ac:dyDescent="0.25">
      <c r="A91" s="176" t="s">
        <v>356</v>
      </c>
      <c r="B91" s="191">
        <v>192.4</v>
      </c>
      <c r="C91" s="191">
        <v>193.7</v>
      </c>
      <c r="D91" s="191">
        <v>194.06</v>
      </c>
      <c r="E91" s="191">
        <v>189.29</v>
      </c>
      <c r="F91" s="191">
        <v>184.73</v>
      </c>
      <c r="G91" s="191">
        <v>205.22</v>
      </c>
      <c r="H91" s="191">
        <v>199.7</v>
      </c>
      <c r="I91" s="191">
        <v>164.14</v>
      </c>
      <c r="J91" s="191">
        <v>234.34</v>
      </c>
      <c r="K91" s="191">
        <v>201.32</v>
      </c>
      <c r="L91" s="189">
        <v>152.84533333333331</v>
      </c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</row>
    <row r="92" spans="1:24" ht="15" x14ac:dyDescent="0.25">
      <c r="A92" s="176" t="s">
        <v>360</v>
      </c>
      <c r="B92" s="191">
        <v>195.38</v>
      </c>
      <c r="C92" s="191">
        <v>195.18</v>
      </c>
      <c r="D92" s="191">
        <v>195.25</v>
      </c>
      <c r="E92" s="191">
        <v>192.55</v>
      </c>
      <c r="F92" s="191">
        <v>185.58</v>
      </c>
      <c r="G92" s="191">
        <v>206.8</v>
      </c>
      <c r="H92" s="191">
        <v>202.24</v>
      </c>
      <c r="I92" s="191">
        <v>166.26</v>
      </c>
      <c r="J92" s="191">
        <v>239.21</v>
      </c>
      <c r="K92" s="191">
        <v>208.71</v>
      </c>
      <c r="L92" s="189">
        <v>156.92066666666668</v>
      </c>
      <c r="M92" s="183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</row>
    <row r="93" spans="1:24" ht="15" x14ac:dyDescent="0.25">
      <c r="A93" s="176" t="s">
        <v>361</v>
      </c>
      <c r="B93" s="191">
        <v>197.36</v>
      </c>
      <c r="C93" s="191">
        <v>195.28</v>
      </c>
      <c r="D93" s="191">
        <v>195.79</v>
      </c>
      <c r="E93" s="191">
        <v>194.58</v>
      </c>
      <c r="F93" s="191">
        <v>186.33</v>
      </c>
      <c r="G93" s="191">
        <v>210.27</v>
      </c>
      <c r="H93" s="191">
        <v>203.05</v>
      </c>
      <c r="I93" s="191">
        <v>167.45</v>
      </c>
      <c r="J93" s="191">
        <v>243.59</v>
      </c>
      <c r="K93" s="191">
        <v>212.37</v>
      </c>
      <c r="L93" s="189">
        <v>160.09733333333335</v>
      </c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</row>
    <row r="94" spans="1:24" ht="15" x14ac:dyDescent="0.25">
      <c r="A94" s="176" t="s">
        <v>362</v>
      </c>
      <c r="B94" s="191">
        <v>199.72</v>
      </c>
      <c r="C94" s="191">
        <v>197.1</v>
      </c>
      <c r="D94" s="191">
        <v>195.96</v>
      </c>
      <c r="E94" s="191">
        <v>196.9</v>
      </c>
      <c r="F94" s="191">
        <v>187.77</v>
      </c>
      <c r="G94" s="191">
        <v>213.89</v>
      </c>
      <c r="H94" s="191">
        <v>205.45</v>
      </c>
      <c r="I94" s="191">
        <v>169.15</v>
      </c>
      <c r="J94" s="191">
        <v>247.1</v>
      </c>
      <c r="K94" s="191">
        <v>216.54</v>
      </c>
      <c r="L94" s="189">
        <v>162.50233333333333</v>
      </c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</row>
    <row r="95" spans="1:24" ht="15" x14ac:dyDescent="0.25">
      <c r="A95" s="176" t="s">
        <v>363</v>
      </c>
      <c r="B95" s="191">
        <v>201.43</v>
      </c>
      <c r="C95" s="191">
        <v>198.65</v>
      </c>
      <c r="D95" s="191">
        <v>197.2</v>
      </c>
      <c r="E95" s="191">
        <v>198.77</v>
      </c>
      <c r="F95" s="191">
        <v>188.91</v>
      </c>
      <c r="G95" s="191">
        <v>214.68</v>
      </c>
      <c r="H95" s="191">
        <v>207.21</v>
      </c>
      <c r="I95" s="191">
        <v>170.33</v>
      </c>
      <c r="J95" s="191">
        <v>249.72</v>
      </c>
      <c r="K95" s="191">
        <v>219.84</v>
      </c>
      <c r="L95" s="189">
        <v>163.68766666666667</v>
      </c>
      <c r="M95" s="183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</row>
    <row r="96" spans="1:24" ht="15" x14ac:dyDescent="0.25">
      <c r="A96" s="176" t="s">
        <v>364</v>
      </c>
      <c r="B96" s="191">
        <v>203.61</v>
      </c>
      <c r="C96" s="191">
        <v>199.79</v>
      </c>
      <c r="D96" s="191">
        <v>197.56</v>
      </c>
      <c r="E96" s="191">
        <v>200.51</v>
      </c>
      <c r="F96" s="191">
        <v>190.34</v>
      </c>
      <c r="G96" s="191">
        <v>218.66</v>
      </c>
      <c r="H96" s="191">
        <v>208.53</v>
      </c>
      <c r="I96" s="191">
        <v>172.44</v>
      </c>
      <c r="J96" s="191">
        <v>252.55</v>
      </c>
      <c r="K96" s="191">
        <v>223.68</v>
      </c>
      <c r="L96" s="189">
        <v>165.21900000000002</v>
      </c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</row>
    <row r="97" spans="1:24" ht="15" x14ac:dyDescent="0.25">
      <c r="A97" s="176" t="s">
        <v>365</v>
      </c>
      <c r="B97" s="191">
        <v>206.22</v>
      </c>
      <c r="C97" s="191">
        <v>199.92</v>
      </c>
      <c r="D97" s="191">
        <v>199.06</v>
      </c>
      <c r="E97" s="191">
        <v>203.75</v>
      </c>
      <c r="F97" s="191">
        <v>191.97</v>
      </c>
      <c r="G97" s="191">
        <v>221.71</v>
      </c>
      <c r="H97" s="191">
        <v>211</v>
      </c>
      <c r="I97" s="191">
        <v>174.21</v>
      </c>
      <c r="J97" s="191">
        <v>257.37</v>
      </c>
      <c r="K97" s="191">
        <v>227.51</v>
      </c>
      <c r="L97" s="189">
        <v>167.327</v>
      </c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</row>
    <row r="98" spans="1:24" ht="15" x14ac:dyDescent="0.25">
      <c r="A98" s="176" t="s">
        <v>366</v>
      </c>
      <c r="B98" s="191">
        <v>209.06</v>
      </c>
      <c r="C98" s="191">
        <v>202.34</v>
      </c>
      <c r="D98" s="191">
        <v>200.21</v>
      </c>
      <c r="E98" s="191">
        <v>207.27</v>
      </c>
      <c r="F98" s="191">
        <v>194.66</v>
      </c>
      <c r="G98" s="191">
        <v>225.06</v>
      </c>
      <c r="H98" s="191">
        <v>212.01</v>
      </c>
      <c r="I98" s="191">
        <v>175.73</v>
      </c>
      <c r="J98" s="191">
        <v>263.06</v>
      </c>
      <c r="K98" s="191">
        <v>232.13</v>
      </c>
      <c r="L98" s="189">
        <v>169.16300000000001</v>
      </c>
      <c r="M98" s="183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</row>
    <row r="99" spans="1:24" ht="15" x14ac:dyDescent="0.25">
      <c r="A99" s="176" t="s">
        <v>367</v>
      </c>
      <c r="B99" s="191">
        <v>211.75</v>
      </c>
      <c r="C99" s="191">
        <v>205.19</v>
      </c>
      <c r="D99" s="191">
        <v>201.24</v>
      </c>
      <c r="E99" s="191">
        <v>210.08</v>
      </c>
      <c r="F99" s="191">
        <v>196.5</v>
      </c>
      <c r="G99" s="191">
        <v>228.22</v>
      </c>
      <c r="H99" s="191">
        <v>214.99</v>
      </c>
      <c r="I99" s="191">
        <v>177.91</v>
      </c>
      <c r="J99" s="191">
        <v>267.02999999999997</v>
      </c>
      <c r="K99" s="191">
        <v>235.96</v>
      </c>
      <c r="L99" s="189">
        <v>170.86433333333332</v>
      </c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</row>
    <row r="100" spans="1:24" ht="15" x14ac:dyDescent="0.25">
      <c r="A100" s="176" t="s">
        <v>368</v>
      </c>
      <c r="B100" s="191">
        <v>214.32</v>
      </c>
      <c r="C100" s="191">
        <v>205.79</v>
      </c>
      <c r="D100" s="191">
        <v>203.13</v>
      </c>
      <c r="E100" s="191">
        <v>213.04</v>
      </c>
      <c r="F100" s="191">
        <v>198.22</v>
      </c>
      <c r="G100" s="191">
        <v>231.3</v>
      </c>
      <c r="H100" s="191">
        <v>217.25</v>
      </c>
      <c r="I100" s="191">
        <v>178.82</v>
      </c>
      <c r="J100" s="191">
        <v>273.16000000000003</v>
      </c>
      <c r="K100" s="191">
        <v>240.23</v>
      </c>
      <c r="L100" s="189">
        <v>172.94466666666668</v>
      </c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</row>
    <row r="101" spans="1:24" ht="15" x14ac:dyDescent="0.25">
      <c r="A101" s="176" t="s">
        <v>369</v>
      </c>
      <c r="B101" s="191">
        <v>217.34</v>
      </c>
      <c r="C101" s="191">
        <v>207.24</v>
      </c>
      <c r="D101" s="191">
        <v>203.94</v>
      </c>
      <c r="E101" s="191">
        <v>216.62</v>
      </c>
      <c r="F101" s="191">
        <v>200.92</v>
      </c>
      <c r="G101" s="191">
        <v>234.1</v>
      </c>
      <c r="H101" s="191">
        <v>220.13</v>
      </c>
      <c r="I101" s="191">
        <v>181.17</v>
      </c>
      <c r="J101" s="191">
        <v>277.43</v>
      </c>
      <c r="K101" s="191">
        <v>245.79</v>
      </c>
      <c r="L101" s="189">
        <v>175.66166666666666</v>
      </c>
      <c r="M101" s="183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</row>
    <row r="102" spans="1:24" ht="15" x14ac:dyDescent="0.25">
      <c r="A102" s="176" t="s">
        <v>370</v>
      </c>
      <c r="B102" s="191">
        <v>220.03</v>
      </c>
      <c r="C102" s="191">
        <v>208.66</v>
      </c>
      <c r="D102" s="191">
        <v>205.15</v>
      </c>
      <c r="E102" s="191">
        <v>219.57</v>
      </c>
      <c r="F102" s="191">
        <v>203.1</v>
      </c>
      <c r="G102" s="191">
        <v>237.01</v>
      </c>
      <c r="H102" s="191">
        <v>223.24</v>
      </c>
      <c r="I102" s="191">
        <v>182.89</v>
      </c>
      <c r="J102" s="191">
        <v>282.45</v>
      </c>
      <c r="K102" s="191">
        <v>249.97</v>
      </c>
      <c r="L102" s="189">
        <v>177.66966666666667</v>
      </c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</row>
    <row r="103" spans="1:24" ht="15" x14ac:dyDescent="0.25">
      <c r="A103" s="176" t="s">
        <v>371</v>
      </c>
      <c r="B103" s="191">
        <v>223.2</v>
      </c>
      <c r="C103" s="191">
        <v>210.93</v>
      </c>
      <c r="D103" s="191">
        <v>207.88</v>
      </c>
      <c r="E103" s="191">
        <v>223.2</v>
      </c>
      <c r="F103" s="191">
        <v>205.19</v>
      </c>
      <c r="G103" s="191">
        <v>240.23</v>
      </c>
      <c r="H103" s="191">
        <v>224.8</v>
      </c>
      <c r="I103" s="191">
        <v>185.4</v>
      </c>
      <c r="J103" s="191">
        <v>287.86</v>
      </c>
      <c r="K103" s="191">
        <v>254.52</v>
      </c>
      <c r="L103" s="189">
        <v>179.40033333333335</v>
      </c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</row>
    <row r="104" spans="1:24" ht="15" x14ac:dyDescent="0.25">
      <c r="A104" s="176" t="s">
        <v>372</v>
      </c>
      <c r="B104" s="191">
        <v>226.53</v>
      </c>
      <c r="C104" s="191">
        <v>213.36</v>
      </c>
      <c r="D104" s="191">
        <v>209.75</v>
      </c>
      <c r="E104" s="191">
        <v>226.95</v>
      </c>
      <c r="F104" s="191">
        <v>208.21</v>
      </c>
      <c r="G104" s="191">
        <v>243.75</v>
      </c>
      <c r="H104" s="191">
        <v>228.27</v>
      </c>
      <c r="I104" s="191">
        <v>188.29</v>
      </c>
      <c r="J104" s="191">
        <v>292.26</v>
      </c>
      <c r="K104" s="191">
        <v>258.81</v>
      </c>
      <c r="L104" s="189">
        <v>181.81799999999998</v>
      </c>
      <c r="M104" s="183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</row>
    <row r="105" spans="1:24" ht="15" x14ac:dyDescent="0.25">
      <c r="A105" s="176" t="s">
        <v>373</v>
      </c>
      <c r="B105" s="191">
        <v>230.02</v>
      </c>
      <c r="C105" s="191">
        <v>216.62</v>
      </c>
      <c r="D105" s="191">
        <v>212.09</v>
      </c>
      <c r="E105" s="191">
        <v>230.52</v>
      </c>
      <c r="F105" s="191">
        <v>210.75</v>
      </c>
      <c r="G105" s="191">
        <v>246.63</v>
      </c>
      <c r="H105" s="191">
        <v>231.05</v>
      </c>
      <c r="I105" s="191">
        <v>191.01</v>
      </c>
      <c r="J105" s="191">
        <v>299.04000000000002</v>
      </c>
      <c r="K105" s="191">
        <v>264.43</v>
      </c>
      <c r="L105" s="189">
        <v>184.71400000000003</v>
      </c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</row>
    <row r="106" spans="1:24" ht="15" x14ac:dyDescent="0.25">
      <c r="A106" s="176" t="s">
        <v>378</v>
      </c>
      <c r="B106" s="191">
        <v>232.97</v>
      </c>
      <c r="C106" s="191">
        <v>219.45</v>
      </c>
      <c r="D106" s="191">
        <v>213.47</v>
      </c>
      <c r="E106" s="191">
        <v>233.06</v>
      </c>
      <c r="F106" s="191">
        <v>213.18</v>
      </c>
      <c r="G106" s="191">
        <v>250.06</v>
      </c>
      <c r="H106" s="191">
        <v>233.45</v>
      </c>
      <c r="I106" s="191">
        <v>193.61</v>
      </c>
      <c r="J106" s="191">
        <v>304.26</v>
      </c>
      <c r="K106" s="191">
        <v>269.05</v>
      </c>
      <c r="L106" s="189">
        <v>187.34333333333333</v>
      </c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</row>
    <row r="107" spans="1:24" ht="15" x14ac:dyDescent="0.25">
      <c r="A107" s="176" t="s">
        <v>379</v>
      </c>
      <c r="B107" s="191">
        <v>236.96</v>
      </c>
      <c r="C107" s="191">
        <v>222.15</v>
      </c>
      <c r="D107" s="191">
        <v>216.31</v>
      </c>
      <c r="E107" s="191">
        <v>237.58</v>
      </c>
      <c r="F107" s="191">
        <v>216.64</v>
      </c>
      <c r="G107" s="191">
        <v>254.58</v>
      </c>
      <c r="H107" s="191">
        <v>237.48</v>
      </c>
      <c r="I107" s="191">
        <v>195.84</v>
      </c>
      <c r="J107" s="191">
        <v>310.39999999999998</v>
      </c>
      <c r="K107" s="191">
        <v>275.16000000000003</v>
      </c>
      <c r="L107" s="189">
        <v>189.58333333333334</v>
      </c>
      <c r="M107" s="183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</row>
    <row r="108" spans="1:24" ht="15" x14ac:dyDescent="0.25">
      <c r="A108" s="176" t="s">
        <v>380</v>
      </c>
      <c r="B108" s="191">
        <v>240.54</v>
      </c>
      <c r="C108" s="191">
        <v>225.15</v>
      </c>
      <c r="D108" s="191">
        <v>219.79</v>
      </c>
      <c r="E108" s="191">
        <v>240.9</v>
      </c>
      <c r="F108" s="191">
        <v>219.78</v>
      </c>
      <c r="G108" s="191">
        <v>257.47000000000003</v>
      </c>
      <c r="H108" s="191">
        <v>239.69</v>
      </c>
      <c r="I108" s="191">
        <v>198.67</v>
      </c>
      <c r="J108" s="191">
        <v>316.69</v>
      </c>
      <c r="K108" s="191">
        <v>281.05</v>
      </c>
      <c r="L108" s="189">
        <v>192.59033333333332</v>
      </c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</row>
    <row r="109" spans="1:24" ht="15" x14ac:dyDescent="0.25">
      <c r="A109" s="176" t="s">
        <v>381</v>
      </c>
      <c r="B109" s="191">
        <v>244.17</v>
      </c>
      <c r="C109" s="191">
        <v>227.84</v>
      </c>
      <c r="D109" s="191">
        <v>221.86</v>
      </c>
      <c r="E109" s="191">
        <v>244.71</v>
      </c>
      <c r="F109" s="191">
        <v>222.19</v>
      </c>
      <c r="G109" s="191">
        <v>261.22000000000003</v>
      </c>
      <c r="H109" s="191">
        <v>242.83</v>
      </c>
      <c r="I109" s="191">
        <v>201.62</v>
      </c>
      <c r="J109" s="191">
        <v>324.39999999999998</v>
      </c>
      <c r="K109" s="191">
        <v>286.12</v>
      </c>
      <c r="L109" s="189">
        <v>195.93499999999997</v>
      </c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</row>
    <row r="110" spans="1:24" ht="15" x14ac:dyDescent="0.25">
      <c r="A110" s="176" t="s">
        <v>382</v>
      </c>
      <c r="B110" s="191">
        <v>248.67</v>
      </c>
      <c r="C110" s="191">
        <v>230.59</v>
      </c>
      <c r="D110" s="191">
        <v>225.82</v>
      </c>
      <c r="E110" s="191">
        <v>249.55</v>
      </c>
      <c r="F110" s="191">
        <v>225.79</v>
      </c>
      <c r="G110" s="191">
        <v>264.26</v>
      </c>
      <c r="H110" s="191">
        <v>247.42</v>
      </c>
      <c r="I110" s="191">
        <v>205.4</v>
      </c>
      <c r="J110" s="191">
        <v>332.45</v>
      </c>
      <c r="K110" s="191">
        <v>292.37</v>
      </c>
      <c r="L110" s="189">
        <v>199.14033333333336</v>
      </c>
      <c r="M110" s="183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</row>
    <row r="111" spans="1:24" ht="15" x14ac:dyDescent="0.25">
      <c r="A111" s="176" t="s">
        <v>383</v>
      </c>
      <c r="B111" s="191">
        <v>251.54</v>
      </c>
      <c r="C111" s="191">
        <v>233.35</v>
      </c>
      <c r="D111" s="191">
        <v>227.4</v>
      </c>
      <c r="E111" s="191">
        <v>253.06</v>
      </c>
      <c r="F111" s="191">
        <v>228.4</v>
      </c>
      <c r="G111" s="191">
        <v>266.83999999999997</v>
      </c>
      <c r="H111" s="191">
        <v>249.88</v>
      </c>
      <c r="I111" s="191">
        <v>207.79</v>
      </c>
      <c r="J111" s="191">
        <v>338.46</v>
      </c>
      <c r="K111" s="191">
        <v>295.23</v>
      </c>
      <c r="L111" s="189">
        <v>201.39400000000001</v>
      </c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</row>
    <row r="112" spans="1:24" ht="15" x14ac:dyDescent="0.25">
      <c r="A112" s="176" t="s">
        <v>384</v>
      </c>
      <c r="B112" s="191">
        <v>254.74</v>
      </c>
      <c r="C112" s="191">
        <v>235.93</v>
      </c>
      <c r="D112" s="191">
        <v>229.73</v>
      </c>
      <c r="E112" s="191">
        <v>256.58999999999997</v>
      </c>
      <c r="F112" s="191">
        <v>231.38</v>
      </c>
      <c r="G112" s="191">
        <v>269.49</v>
      </c>
      <c r="H112" s="191">
        <v>253.04</v>
      </c>
      <c r="I112" s="191">
        <v>210.45</v>
      </c>
      <c r="J112" s="191">
        <v>344.4</v>
      </c>
      <c r="K112" s="191">
        <v>299.12</v>
      </c>
      <c r="L112" s="189">
        <v>203.60066666666668</v>
      </c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</row>
    <row r="113" spans="1:25" ht="15" x14ac:dyDescent="0.25">
      <c r="A113" s="176" t="s">
        <v>385</v>
      </c>
      <c r="B113" s="191">
        <v>257.52</v>
      </c>
      <c r="C113" s="191">
        <v>238.46</v>
      </c>
      <c r="D113" s="191">
        <v>231.55</v>
      </c>
      <c r="E113" s="191">
        <v>259.11</v>
      </c>
      <c r="F113" s="191">
        <v>234.87</v>
      </c>
      <c r="G113" s="191">
        <v>272.68</v>
      </c>
      <c r="H113" s="191">
        <v>256.06</v>
      </c>
      <c r="I113" s="191">
        <v>212.74</v>
      </c>
      <c r="J113" s="191">
        <v>350.19</v>
      </c>
      <c r="K113" s="191">
        <v>301.47000000000003</v>
      </c>
      <c r="L113" s="189">
        <v>205.61</v>
      </c>
      <c r="M113" s="183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</row>
    <row r="114" spans="1:25" ht="15" x14ac:dyDescent="0.25">
      <c r="A114" s="176" t="s">
        <v>386</v>
      </c>
      <c r="B114" s="191">
        <v>260.63</v>
      </c>
      <c r="C114" s="191">
        <v>241.22</v>
      </c>
      <c r="D114" s="191">
        <v>234.16</v>
      </c>
      <c r="E114" s="191">
        <v>262.69</v>
      </c>
      <c r="F114" s="191">
        <v>237.93</v>
      </c>
      <c r="G114" s="191">
        <v>275.7</v>
      </c>
      <c r="H114" s="191">
        <v>259.36</v>
      </c>
      <c r="I114" s="191">
        <v>215.75</v>
      </c>
      <c r="J114" s="191">
        <v>354.71</v>
      </c>
      <c r="K114" s="191">
        <v>303.66000000000003</v>
      </c>
      <c r="L114" s="189">
        <v>206.79600000000002</v>
      </c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</row>
    <row r="115" spans="1:25" ht="15" x14ac:dyDescent="0.25">
      <c r="A115" s="176" t="s">
        <v>387</v>
      </c>
      <c r="B115" s="191">
        <v>263.66000000000003</v>
      </c>
      <c r="C115" s="191">
        <v>243.19</v>
      </c>
      <c r="D115" s="191">
        <v>236.19</v>
      </c>
      <c r="E115" s="191">
        <v>266.2</v>
      </c>
      <c r="F115" s="191">
        <v>241.38</v>
      </c>
      <c r="G115" s="191">
        <v>277.93</v>
      </c>
      <c r="H115" s="191">
        <v>261.22000000000003</v>
      </c>
      <c r="I115" s="191">
        <v>218.36</v>
      </c>
      <c r="J115" s="191">
        <v>361.33</v>
      </c>
      <c r="K115" s="191">
        <v>307.44</v>
      </c>
      <c r="L115" s="189">
        <v>208.05033333333336</v>
      </c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</row>
    <row r="116" spans="1:25" ht="15" x14ac:dyDescent="0.25">
      <c r="A116" s="176" t="s">
        <v>388</v>
      </c>
      <c r="B116" s="191">
        <v>267.13</v>
      </c>
      <c r="C116" s="191">
        <v>246.46</v>
      </c>
      <c r="D116" s="191">
        <v>238.86</v>
      </c>
      <c r="E116" s="191">
        <v>269.56</v>
      </c>
      <c r="F116" s="191">
        <v>244.32</v>
      </c>
      <c r="G116" s="191">
        <v>280.89999999999998</v>
      </c>
      <c r="H116" s="191">
        <v>264.77</v>
      </c>
      <c r="I116" s="191">
        <v>221.22</v>
      </c>
      <c r="J116" s="191">
        <v>367.75</v>
      </c>
      <c r="K116" s="191">
        <v>312.05</v>
      </c>
      <c r="L116" s="189">
        <v>210.01166666666666</v>
      </c>
      <c r="M116" s="183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</row>
    <row r="117" spans="1:25" ht="15" x14ac:dyDescent="0.25">
      <c r="A117" s="176" t="s">
        <v>389</v>
      </c>
      <c r="B117" s="191">
        <v>271.58999999999997</v>
      </c>
      <c r="C117" s="191">
        <v>250.03</v>
      </c>
      <c r="D117" s="191">
        <v>242.83</v>
      </c>
      <c r="E117" s="191">
        <v>274.8</v>
      </c>
      <c r="F117" s="191">
        <v>248.06</v>
      </c>
      <c r="G117" s="191">
        <v>284.72000000000003</v>
      </c>
      <c r="H117" s="191">
        <v>269.04000000000002</v>
      </c>
      <c r="I117" s="191">
        <v>224.71</v>
      </c>
      <c r="J117" s="191">
        <v>375.6</v>
      </c>
      <c r="K117" s="191">
        <v>317.02</v>
      </c>
      <c r="L117" s="189">
        <v>212.79700000000003</v>
      </c>
      <c r="M117" s="179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</row>
    <row r="118" spans="1:25" ht="15" x14ac:dyDescent="0.25">
      <c r="A118" s="176" t="s">
        <v>390</v>
      </c>
      <c r="B118" s="191">
        <v>276.81</v>
      </c>
      <c r="C118" s="191">
        <v>255.35</v>
      </c>
      <c r="D118" s="191">
        <v>247.52</v>
      </c>
      <c r="E118" s="191">
        <v>280.35000000000002</v>
      </c>
      <c r="F118" s="191">
        <v>253.67</v>
      </c>
      <c r="G118" s="191">
        <v>288.94</v>
      </c>
      <c r="H118" s="191">
        <v>272.93</v>
      </c>
      <c r="I118" s="191">
        <v>228.79</v>
      </c>
      <c r="J118" s="191">
        <v>385.23</v>
      </c>
      <c r="K118" s="191">
        <v>323.27999999999997</v>
      </c>
      <c r="L118" s="189">
        <v>215.74266666666668</v>
      </c>
      <c r="M118" s="179"/>
      <c r="N118" s="151"/>
      <c r="O118" s="151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</row>
    <row r="119" spans="1:25" ht="15" x14ac:dyDescent="0.25">
      <c r="A119" s="176" t="s">
        <v>391</v>
      </c>
      <c r="B119" s="191">
        <v>278.45</v>
      </c>
      <c r="C119" s="191">
        <v>254.6</v>
      </c>
      <c r="D119" s="191">
        <v>247.98</v>
      </c>
      <c r="E119" s="191">
        <v>282.22000000000003</v>
      </c>
      <c r="F119" s="191">
        <v>256.42</v>
      </c>
      <c r="G119" s="191">
        <v>291.31</v>
      </c>
      <c r="H119" s="191">
        <v>275.41000000000003</v>
      </c>
      <c r="I119" s="191">
        <v>230.29</v>
      </c>
      <c r="J119" s="191">
        <v>387.84</v>
      </c>
      <c r="K119" s="191">
        <v>324.24</v>
      </c>
      <c r="L119" s="189">
        <v>217.05833333333337</v>
      </c>
      <c r="M119" s="179"/>
      <c r="N119" s="151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</row>
    <row r="120" spans="1:25" ht="15" x14ac:dyDescent="0.25">
      <c r="A120" s="176" t="s">
        <v>392</v>
      </c>
      <c r="B120" s="191">
        <v>288.93</v>
      </c>
      <c r="C120" s="191">
        <v>267.42</v>
      </c>
      <c r="D120" s="191">
        <v>257.97000000000003</v>
      </c>
      <c r="E120" s="191">
        <v>292.27</v>
      </c>
      <c r="F120" s="191">
        <v>265.02</v>
      </c>
      <c r="G120" s="191">
        <v>299.43</v>
      </c>
      <c r="H120" s="191">
        <v>285.25</v>
      </c>
      <c r="I120" s="191">
        <v>239.34</v>
      </c>
      <c r="J120" s="191">
        <v>404.64</v>
      </c>
      <c r="K120" s="191">
        <v>337.72</v>
      </c>
      <c r="L120" s="189">
        <v>222.41166666666663</v>
      </c>
      <c r="M120" s="179"/>
      <c r="N120" s="151"/>
      <c r="O120" s="151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</row>
    <row r="121" spans="1:25" ht="15" x14ac:dyDescent="0.25">
      <c r="A121" s="176" t="s">
        <v>397</v>
      </c>
      <c r="B121" s="191">
        <v>301.81</v>
      </c>
      <c r="C121" s="191">
        <v>282.18</v>
      </c>
      <c r="D121" s="191">
        <v>270.11</v>
      </c>
      <c r="E121" s="191">
        <v>305.58</v>
      </c>
      <c r="F121" s="191">
        <v>275.83</v>
      </c>
      <c r="G121" s="191">
        <v>310.16000000000003</v>
      </c>
      <c r="H121" s="191">
        <v>295.89999999999998</v>
      </c>
      <c r="I121" s="191">
        <v>249.28</v>
      </c>
      <c r="J121" s="191">
        <v>425.89</v>
      </c>
      <c r="K121" s="191">
        <v>354.98</v>
      </c>
      <c r="L121" s="189">
        <v>233.13233333333335</v>
      </c>
      <c r="M121" s="179"/>
      <c r="N121" s="151"/>
      <c r="O121" s="151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</row>
    <row r="122" spans="1:25" ht="15" x14ac:dyDescent="0.25">
      <c r="A122" s="176" t="s">
        <v>398</v>
      </c>
      <c r="B122" s="191">
        <v>312.7</v>
      </c>
      <c r="C122" s="191">
        <v>292.99</v>
      </c>
      <c r="D122" s="191">
        <v>279.13</v>
      </c>
      <c r="E122" s="191">
        <v>316.95999999999998</v>
      </c>
      <c r="F122" s="191">
        <v>284.70999999999998</v>
      </c>
      <c r="G122" s="191">
        <v>321.27</v>
      </c>
      <c r="H122" s="191">
        <v>304.76</v>
      </c>
      <c r="I122" s="191">
        <v>256.92</v>
      </c>
      <c r="J122" s="191">
        <v>446.55</v>
      </c>
      <c r="K122" s="191">
        <v>369.33</v>
      </c>
      <c r="L122" s="189">
        <v>242.4556666666667</v>
      </c>
      <c r="M122" s="179"/>
      <c r="N122" s="151"/>
      <c r="O122" s="151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</row>
    <row r="123" spans="1:25" ht="15" x14ac:dyDescent="0.25">
      <c r="A123" s="176" t="s">
        <v>399</v>
      </c>
      <c r="B123" s="191">
        <v>326.77</v>
      </c>
      <c r="C123" s="191">
        <v>306.16000000000003</v>
      </c>
      <c r="D123" s="191">
        <v>289.31</v>
      </c>
      <c r="E123" s="191">
        <v>332.24</v>
      </c>
      <c r="F123" s="191">
        <v>298.14999999999998</v>
      </c>
      <c r="G123" s="191">
        <v>335.26</v>
      </c>
      <c r="H123" s="191">
        <v>316.02999999999997</v>
      </c>
      <c r="I123" s="191">
        <v>266.14999999999998</v>
      </c>
      <c r="J123" s="191">
        <v>474.93</v>
      </c>
      <c r="K123" s="191">
        <v>388.35</v>
      </c>
      <c r="L123" s="189">
        <v>253.43699999999998</v>
      </c>
      <c r="M123" s="179"/>
      <c r="N123" s="151"/>
      <c r="O123" s="151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</row>
    <row r="124" spans="1:25" ht="15" x14ac:dyDescent="0.25">
      <c r="A124" s="176" t="s">
        <v>400</v>
      </c>
      <c r="B124" s="191">
        <v>341.48</v>
      </c>
      <c r="C124" s="191">
        <v>318.16000000000003</v>
      </c>
      <c r="D124" s="191">
        <v>298.43</v>
      </c>
      <c r="E124" s="191">
        <v>350.65</v>
      </c>
      <c r="F124" s="191">
        <v>312.82</v>
      </c>
      <c r="G124" s="191">
        <v>351.2</v>
      </c>
      <c r="H124" s="191">
        <v>326.06</v>
      </c>
      <c r="I124" s="191">
        <v>275.26</v>
      </c>
      <c r="J124" s="191">
        <v>504.29</v>
      </c>
      <c r="K124" s="191">
        <v>406.8</v>
      </c>
      <c r="L124" s="189">
        <v>266.45400000000001</v>
      </c>
      <c r="M124" s="179"/>
      <c r="N124" s="151"/>
      <c r="O124" s="151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</row>
    <row r="125" spans="1:25" ht="15" x14ac:dyDescent="0.25">
      <c r="A125" s="176" t="s">
        <v>401</v>
      </c>
      <c r="B125" s="191">
        <v>354.37</v>
      </c>
      <c r="C125" s="191">
        <v>327.31</v>
      </c>
      <c r="D125" s="191">
        <v>307.3</v>
      </c>
      <c r="E125" s="191">
        <v>367.34</v>
      </c>
      <c r="F125" s="191">
        <v>326.42</v>
      </c>
      <c r="G125" s="191">
        <v>365.33</v>
      </c>
      <c r="H125" s="191">
        <v>335.75</v>
      </c>
      <c r="I125" s="191">
        <v>283.62</v>
      </c>
      <c r="J125" s="191">
        <v>524.63</v>
      </c>
      <c r="K125" s="191">
        <v>422.45</v>
      </c>
      <c r="L125" s="189">
        <v>277.49133333333333</v>
      </c>
      <c r="N125" s="151"/>
      <c r="O125" s="151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</row>
    <row r="126" spans="1:25" ht="15" x14ac:dyDescent="0.25">
      <c r="A126" s="176" t="s">
        <v>402</v>
      </c>
      <c r="B126" s="191">
        <v>369.48</v>
      </c>
      <c r="C126" s="191">
        <v>340.49</v>
      </c>
      <c r="D126" s="191">
        <v>319.01</v>
      </c>
      <c r="E126" s="191">
        <v>387.04</v>
      </c>
      <c r="F126" s="191">
        <v>340.35</v>
      </c>
      <c r="G126" s="191">
        <v>378.87</v>
      </c>
      <c r="H126" s="191">
        <v>347.07</v>
      </c>
      <c r="I126" s="191">
        <v>294.42</v>
      </c>
      <c r="J126" s="191">
        <v>551.49</v>
      </c>
      <c r="K126" s="191">
        <v>439.82</v>
      </c>
      <c r="L126" s="189">
        <v>291.125</v>
      </c>
    </row>
    <row r="127" spans="1:25" ht="15" x14ac:dyDescent="0.25">
      <c r="A127" s="176" t="s">
        <v>403</v>
      </c>
      <c r="B127" s="191">
        <v>381.15</v>
      </c>
      <c r="C127" s="191">
        <v>351.52</v>
      </c>
      <c r="D127" s="191">
        <v>327.61</v>
      </c>
      <c r="E127" s="191">
        <v>404.05</v>
      </c>
      <c r="F127" s="191">
        <v>351.31</v>
      </c>
      <c r="G127" s="191">
        <v>394.24</v>
      </c>
      <c r="H127" s="191">
        <v>357.03</v>
      </c>
      <c r="I127" s="191">
        <v>301.88</v>
      </c>
      <c r="J127" s="191">
        <v>570.62</v>
      </c>
      <c r="K127" s="191">
        <v>446.32</v>
      </c>
      <c r="L127" s="189">
        <v>302.55666666666667</v>
      </c>
      <c r="M127" s="183"/>
    </row>
    <row r="128" spans="1:25" ht="15" x14ac:dyDescent="0.25">
      <c r="A128" s="176" t="s">
        <v>404</v>
      </c>
      <c r="B128" s="191">
        <v>380.76</v>
      </c>
      <c r="C128" s="191">
        <v>350.66</v>
      </c>
      <c r="D128" s="191">
        <v>329.04</v>
      </c>
      <c r="E128" s="191">
        <v>406.41</v>
      </c>
      <c r="F128" s="191">
        <v>355.11</v>
      </c>
      <c r="G128" s="191">
        <v>395.65</v>
      </c>
      <c r="H128" s="191">
        <v>357.87</v>
      </c>
      <c r="I128" s="191">
        <v>303.14</v>
      </c>
      <c r="J128" s="191">
        <v>557.67999999999995</v>
      </c>
      <c r="K128" s="191">
        <v>437.3</v>
      </c>
      <c r="L128" s="189">
        <v>301.18566666666669</v>
      </c>
    </row>
    <row r="129" spans="1:13" ht="15" x14ac:dyDescent="0.25">
      <c r="A129" s="176" t="s">
        <v>406</v>
      </c>
      <c r="B129" s="191">
        <v>381.65</v>
      </c>
      <c r="C129" s="191">
        <v>352.85</v>
      </c>
      <c r="D129" s="191">
        <v>331.1</v>
      </c>
      <c r="E129" s="191">
        <v>408.58</v>
      </c>
      <c r="F129" s="191">
        <v>357.47</v>
      </c>
      <c r="G129" s="191">
        <v>396.84</v>
      </c>
      <c r="H129" s="191">
        <v>360.59</v>
      </c>
      <c r="I129" s="191">
        <v>305.74</v>
      </c>
      <c r="J129" s="191">
        <v>551.6</v>
      </c>
      <c r="K129" s="191">
        <v>432.3</v>
      </c>
      <c r="L129" s="189">
        <v>298.32299999999998</v>
      </c>
      <c r="M129" s="183"/>
    </row>
    <row r="130" spans="1:13" ht="15" x14ac:dyDescent="0.25">
      <c r="A130" s="176" t="s">
        <v>409</v>
      </c>
      <c r="B130" s="191">
        <v>384.8</v>
      </c>
      <c r="C130" s="191">
        <v>359.72</v>
      </c>
      <c r="D130" s="191">
        <v>335.16</v>
      </c>
      <c r="E130" s="191">
        <v>413.08</v>
      </c>
      <c r="F130" s="191">
        <v>364.34</v>
      </c>
      <c r="G130" s="191">
        <v>397.8</v>
      </c>
      <c r="H130" s="191">
        <v>365.09</v>
      </c>
      <c r="I130" s="191">
        <v>310.45</v>
      </c>
      <c r="J130" s="191">
        <v>549.99</v>
      </c>
      <c r="K130" s="191">
        <v>429.45</v>
      </c>
      <c r="L130" s="189">
        <v>297.84233333333333</v>
      </c>
    </row>
    <row r="131" spans="1:13" ht="15" x14ac:dyDescent="0.25">
      <c r="A131" s="176" t="s">
        <v>416</v>
      </c>
      <c r="B131" s="191">
        <v>391.99</v>
      </c>
      <c r="C131" s="191">
        <v>370.4</v>
      </c>
      <c r="D131" s="191">
        <v>343.87</v>
      </c>
      <c r="E131" s="191">
        <v>420.64</v>
      </c>
      <c r="F131" s="191">
        <v>366.2</v>
      </c>
      <c r="G131" s="191">
        <v>402.16</v>
      </c>
      <c r="H131" s="191">
        <v>372.31</v>
      </c>
      <c r="I131" s="191">
        <v>318.04000000000002</v>
      </c>
      <c r="J131" s="191">
        <v>557.73</v>
      </c>
      <c r="K131" s="191">
        <v>438.1</v>
      </c>
      <c r="L131" s="189">
        <v>302.08266666666668</v>
      </c>
    </row>
    <row r="132" spans="1:13" ht="15" x14ac:dyDescent="0.25">
      <c r="A132" s="176" t="s">
        <v>417</v>
      </c>
      <c r="B132" s="191">
        <v>400.55</v>
      </c>
      <c r="C132" s="191">
        <v>381.99</v>
      </c>
      <c r="D132" s="191">
        <v>354.47</v>
      </c>
      <c r="E132" s="191">
        <v>431.65</v>
      </c>
      <c r="F132" s="191">
        <v>372.32</v>
      </c>
      <c r="G132" s="191">
        <v>407.85</v>
      </c>
      <c r="H132" s="191">
        <v>378.7</v>
      </c>
      <c r="I132" s="191">
        <v>325.64999999999998</v>
      </c>
      <c r="J132" s="191">
        <v>569.02</v>
      </c>
      <c r="K132" s="191">
        <v>445.46</v>
      </c>
      <c r="L132" s="189">
        <v>308.99633333333333</v>
      </c>
      <c r="M132" s="183"/>
    </row>
    <row r="133" spans="1:13" ht="15" x14ac:dyDescent="0.25">
      <c r="A133" s="176" t="s">
        <v>418</v>
      </c>
      <c r="B133" s="191">
        <v>405.31</v>
      </c>
      <c r="C133" s="191">
        <v>386.98</v>
      </c>
      <c r="D133" s="191">
        <v>360.62</v>
      </c>
      <c r="E133" s="191">
        <v>435.97</v>
      </c>
      <c r="F133" s="191">
        <v>380.26</v>
      </c>
      <c r="G133" s="191">
        <v>408.27</v>
      </c>
      <c r="H133" s="191">
        <v>382.49</v>
      </c>
      <c r="I133" s="191">
        <v>331.74</v>
      </c>
      <c r="J133" s="191">
        <v>573.74</v>
      </c>
      <c r="K133" s="191">
        <v>450.4</v>
      </c>
      <c r="L133" s="189">
        <v>314.07199999999995</v>
      </c>
    </row>
    <row r="134" spans="1:13" ht="15" x14ac:dyDescent="0.25">
      <c r="A134" s="176" t="s">
        <v>419</v>
      </c>
      <c r="B134" s="191">
        <v>409.74</v>
      </c>
      <c r="C134" s="191">
        <v>393.04</v>
      </c>
      <c r="D134" s="191">
        <v>367.4</v>
      </c>
      <c r="E134" s="191">
        <v>439.84</v>
      </c>
      <c r="F134" s="191">
        <v>380.77</v>
      </c>
      <c r="G134" s="191">
        <v>411.17</v>
      </c>
      <c r="H134" s="191">
        <v>389.39</v>
      </c>
      <c r="I134" s="191">
        <v>336.79</v>
      </c>
      <c r="J134" s="191">
        <v>578.4</v>
      </c>
      <c r="K134" s="191">
        <v>454.1</v>
      </c>
      <c r="L134" s="189">
        <v>316.95</v>
      </c>
    </row>
    <row r="135" spans="1:13" ht="15" x14ac:dyDescent="0.25">
      <c r="A135" s="176" t="s">
        <v>420</v>
      </c>
      <c r="B135" s="191">
        <v>414.5</v>
      </c>
      <c r="C135" s="191">
        <v>399.81</v>
      </c>
      <c r="D135" s="191">
        <v>373.46</v>
      </c>
      <c r="E135" s="191">
        <v>445.59</v>
      </c>
      <c r="F135" s="191">
        <v>385.87</v>
      </c>
      <c r="G135" s="191">
        <v>414.16</v>
      </c>
      <c r="H135" s="191">
        <v>392.94</v>
      </c>
      <c r="I135" s="191">
        <v>342.29</v>
      </c>
      <c r="J135" s="191">
        <v>583.88</v>
      </c>
      <c r="K135" s="191">
        <v>456.16</v>
      </c>
      <c r="L135" s="189">
        <v>319.93966666666665</v>
      </c>
      <c r="M135" s="183"/>
    </row>
    <row r="136" spans="1:13" ht="15" x14ac:dyDescent="0.25">
      <c r="A136" s="176" t="s">
        <v>421</v>
      </c>
      <c r="B136" s="191">
        <v>418.57</v>
      </c>
      <c r="C136" s="191">
        <v>407.15</v>
      </c>
      <c r="D136" s="191">
        <v>378.9</v>
      </c>
      <c r="E136" s="191">
        <v>447.54</v>
      </c>
      <c r="F136" s="191">
        <v>391.15</v>
      </c>
      <c r="G136" s="191">
        <v>415.16</v>
      </c>
      <c r="H136" s="191">
        <v>396.93</v>
      </c>
      <c r="I136" s="191">
        <v>348.27</v>
      </c>
      <c r="J136" s="191">
        <v>588.25</v>
      </c>
      <c r="K136" s="191">
        <v>460.43</v>
      </c>
      <c r="L136" s="189">
        <v>322.54166666666669</v>
      </c>
    </row>
    <row r="137" spans="1:13" ht="15" x14ac:dyDescent="0.25">
      <c r="A137" s="176" t="s">
        <v>422</v>
      </c>
      <c r="B137" s="191">
        <v>423.96</v>
      </c>
      <c r="C137" s="191">
        <v>413.83</v>
      </c>
      <c r="D137" s="191">
        <v>386.89</v>
      </c>
      <c r="E137" s="191">
        <v>454.69</v>
      </c>
      <c r="F137" s="191">
        <v>396.58</v>
      </c>
      <c r="G137" s="191">
        <v>418.71</v>
      </c>
      <c r="H137" s="191">
        <v>402.08</v>
      </c>
      <c r="I137" s="191">
        <v>353.2</v>
      </c>
      <c r="J137" s="191">
        <v>595.73</v>
      </c>
      <c r="K137" s="191">
        <v>461.92</v>
      </c>
      <c r="L137" s="189">
        <v>326.029</v>
      </c>
    </row>
    <row r="138" spans="1:13" ht="15" x14ac:dyDescent="0.25">
      <c r="A138" s="176" t="s">
        <v>436</v>
      </c>
      <c r="B138" s="191">
        <v>427.16</v>
      </c>
      <c r="C138" s="191">
        <v>420.57</v>
      </c>
      <c r="D138" s="191">
        <v>393.54</v>
      </c>
      <c r="E138" s="191">
        <v>455.2</v>
      </c>
      <c r="F138" s="191">
        <v>397.42</v>
      </c>
      <c r="G138" s="191">
        <v>421.42</v>
      </c>
      <c r="H138" s="191">
        <v>405.75</v>
      </c>
      <c r="I138" s="191">
        <v>359.29</v>
      </c>
      <c r="J138" s="191">
        <v>596.36</v>
      </c>
      <c r="K138" s="191">
        <v>463.29</v>
      </c>
      <c r="L138" s="189">
        <v>329.16199999999998</v>
      </c>
      <c r="M138" s="183"/>
    </row>
    <row r="139" spans="1:13" ht="15" x14ac:dyDescent="0.25">
      <c r="A139" s="176" t="s">
        <v>437</v>
      </c>
      <c r="B139" s="191">
        <v>427.33</v>
      </c>
      <c r="C139" s="191">
        <v>421.99</v>
      </c>
      <c r="D139" s="191">
        <v>397.94</v>
      </c>
      <c r="E139" s="191">
        <v>452.71</v>
      </c>
      <c r="F139" s="191">
        <v>402.2</v>
      </c>
      <c r="G139" s="191">
        <v>419.35</v>
      </c>
      <c r="H139" s="191">
        <v>408.31</v>
      </c>
      <c r="I139" s="191">
        <v>361.55</v>
      </c>
      <c r="J139" s="191">
        <v>592.34</v>
      </c>
      <c r="K139" s="191">
        <v>460.38</v>
      </c>
      <c r="L139" s="189">
        <v>327.50533333333334</v>
      </c>
    </row>
    <row r="140" spans="1:13" ht="15" x14ac:dyDescent="0.25">
      <c r="A140" s="176" t="s">
        <v>438</v>
      </c>
      <c r="B140" s="191">
        <v>428.72</v>
      </c>
      <c r="C140" s="191">
        <v>424.11</v>
      </c>
      <c r="D140" s="191">
        <v>401.15</v>
      </c>
      <c r="E140" s="191">
        <v>452.64</v>
      </c>
      <c r="F140" s="191">
        <v>402.01</v>
      </c>
      <c r="G140" s="191">
        <v>418.71</v>
      </c>
      <c r="H140" s="191">
        <v>411.56</v>
      </c>
      <c r="I140" s="191">
        <v>365.94</v>
      </c>
      <c r="J140" s="191">
        <v>592.72</v>
      </c>
      <c r="K140" s="191">
        <v>460.12</v>
      </c>
      <c r="L140" s="189">
        <v>327.32066666666668</v>
      </c>
    </row>
    <row r="141" spans="1:13" ht="15" x14ac:dyDescent="0.25">
      <c r="A141" s="176" t="s">
        <v>439</v>
      </c>
      <c r="B141" s="191">
        <v>432.22</v>
      </c>
      <c r="C141" s="191">
        <v>428.25</v>
      </c>
      <c r="D141" s="191">
        <v>405.77</v>
      </c>
      <c r="E141" s="191">
        <v>455.24</v>
      </c>
      <c r="F141" s="191">
        <v>403.94</v>
      </c>
      <c r="G141" s="191">
        <v>421.25</v>
      </c>
      <c r="H141" s="191">
        <v>417.15</v>
      </c>
      <c r="I141" s="191">
        <v>371.3</v>
      </c>
      <c r="J141" s="191">
        <v>594.92999999999995</v>
      </c>
      <c r="K141" s="191">
        <v>462.27</v>
      </c>
      <c r="L141" s="189">
        <v>330.15100000000001</v>
      </c>
      <c r="M141" s="183"/>
    </row>
    <row r="142" spans="1:13" ht="15" x14ac:dyDescent="0.25">
      <c r="A142" s="176" t="s">
        <v>440</v>
      </c>
      <c r="B142" s="191">
        <v>434.23</v>
      </c>
      <c r="C142" s="191">
        <v>432.74</v>
      </c>
      <c r="D142" s="191">
        <v>410.05</v>
      </c>
      <c r="E142" s="191">
        <v>457.5</v>
      </c>
      <c r="F142" s="191">
        <v>408.5</v>
      </c>
      <c r="G142" s="191">
        <v>418.63</v>
      </c>
      <c r="H142" s="191">
        <v>419.22</v>
      </c>
      <c r="I142" s="191">
        <v>374.95</v>
      </c>
      <c r="J142" s="191">
        <v>596.57000000000005</v>
      </c>
      <c r="K142" s="191">
        <v>462.28</v>
      </c>
      <c r="L142" s="189">
        <v>331.82833333333332</v>
      </c>
    </row>
    <row r="143" spans="1:13" ht="15" x14ac:dyDescent="0.25">
      <c r="D143" s="191"/>
      <c r="G143" s="191"/>
      <c r="J143" s="191"/>
    </row>
    <row r="144" spans="1:13" ht="15" x14ac:dyDescent="0.25">
      <c r="D144" s="191"/>
      <c r="G144" s="191"/>
      <c r="J144" s="191"/>
      <c r="M144" s="183"/>
    </row>
    <row r="145" spans="7:13" ht="15" x14ac:dyDescent="0.25">
      <c r="G145" s="191"/>
    </row>
    <row r="146" spans="7:13" ht="15" x14ac:dyDescent="0.25">
      <c r="G146" s="191"/>
    </row>
    <row r="147" spans="7:13" ht="15" x14ac:dyDescent="0.25">
      <c r="G147" s="191"/>
      <c r="M147" s="183"/>
    </row>
    <row r="148" spans="7:13" ht="15" x14ac:dyDescent="0.25">
      <c r="G148" s="191"/>
    </row>
    <row r="149" spans="7:13" ht="15" x14ac:dyDescent="0.25">
      <c r="G149" s="191"/>
    </row>
    <row r="150" spans="7:13" ht="15" x14ac:dyDescent="0.25">
      <c r="G150" s="191"/>
      <c r="M150" s="183"/>
    </row>
    <row r="151" spans="7:13" ht="15" x14ac:dyDescent="0.25">
      <c r="G151" s="191"/>
    </row>
    <row r="152" spans="7:13" ht="15" x14ac:dyDescent="0.25">
      <c r="G152" s="191"/>
    </row>
    <row r="153" spans="7:13" ht="15" x14ac:dyDescent="0.25">
      <c r="G153" s="191"/>
      <c r="M153" s="183"/>
    </row>
    <row r="154" spans="7:13" ht="15" x14ac:dyDescent="0.25">
      <c r="G154" s="191"/>
    </row>
    <row r="155" spans="7:13" ht="15" x14ac:dyDescent="0.25">
      <c r="G155" s="191"/>
    </row>
    <row r="156" spans="7:13" ht="15" x14ac:dyDescent="0.25">
      <c r="G156" s="191"/>
      <c r="M156" s="183"/>
    </row>
    <row r="157" spans="7:13" ht="15" x14ac:dyDescent="0.25">
      <c r="G157" s="191"/>
    </row>
    <row r="158" spans="7:13" ht="15" x14ac:dyDescent="0.25">
      <c r="G158" s="191"/>
    </row>
    <row r="159" spans="7:13" ht="15" x14ac:dyDescent="0.25">
      <c r="G159" s="191"/>
      <c r="M159" s="183"/>
    </row>
    <row r="160" spans="7:13" ht="15" x14ac:dyDescent="0.25">
      <c r="G160" s="191"/>
    </row>
    <row r="161" spans="7:13" ht="15" x14ac:dyDescent="0.25">
      <c r="G161" s="191"/>
    </row>
    <row r="162" spans="7:13" ht="15" x14ac:dyDescent="0.25">
      <c r="G162" s="191"/>
      <c r="M162" s="183"/>
    </row>
    <row r="163" spans="7:13" ht="15" x14ac:dyDescent="0.25">
      <c r="G163" s="191"/>
    </row>
    <row r="164" spans="7:13" ht="15" x14ac:dyDescent="0.25">
      <c r="G164" s="191"/>
    </row>
    <row r="165" spans="7:13" ht="15" x14ac:dyDescent="0.25">
      <c r="G165" s="191"/>
      <c r="M165" s="183"/>
    </row>
    <row r="166" spans="7:13" ht="15" x14ac:dyDescent="0.25">
      <c r="G166" s="191"/>
    </row>
    <row r="167" spans="7:13" ht="15" x14ac:dyDescent="0.25">
      <c r="G167" s="191"/>
    </row>
    <row r="168" spans="7:13" ht="15" x14ac:dyDescent="0.25">
      <c r="G168" s="191"/>
      <c r="M168" s="183"/>
    </row>
    <row r="169" spans="7:13" ht="15" x14ac:dyDescent="0.25">
      <c r="G169" s="191"/>
    </row>
    <row r="170" spans="7:13" ht="15" x14ac:dyDescent="0.25">
      <c r="G170" s="191"/>
    </row>
    <row r="171" spans="7:13" ht="15" x14ac:dyDescent="0.25">
      <c r="G171" s="191"/>
      <c r="M171" s="183"/>
    </row>
    <row r="172" spans="7:13" ht="15" x14ac:dyDescent="0.25">
      <c r="G172" s="191"/>
    </row>
    <row r="173" spans="7:13" ht="15" x14ac:dyDescent="0.25">
      <c r="G173" s="191"/>
    </row>
    <row r="174" spans="7:13" ht="15" x14ac:dyDescent="0.25">
      <c r="G174" s="191"/>
      <c r="M174" s="183"/>
    </row>
    <row r="175" spans="7:13" ht="15" x14ac:dyDescent="0.25">
      <c r="G175" s="191"/>
    </row>
    <row r="176" spans="7:13" ht="15" x14ac:dyDescent="0.25">
      <c r="G176" s="191"/>
    </row>
    <row r="177" spans="7:13" ht="15" x14ac:dyDescent="0.25">
      <c r="G177" s="191"/>
      <c r="M177" s="183"/>
    </row>
    <row r="178" spans="7:13" ht="15" x14ac:dyDescent="0.25">
      <c r="G178" s="191"/>
    </row>
    <row r="179" spans="7:13" ht="15" x14ac:dyDescent="0.25">
      <c r="G179" s="191"/>
    </row>
    <row r="180" spans="7:13" ht="15" x14ac:dyDescent="0.25">
      <c r="G180" s="191"/>
      <c r="M180" s="183"/>
    </row>
    <row r="181" spans="7:13" ht="15" x14ac:dyDescent="0.25">
      <c r="G181" s="191"/>
    </row>
    <row r="182" spans="7:13" ht="15" x14ac:dyDescent="0.25">
      <c r="G182" s="191"/>
    </row>
    <row r="183" spans="7:13" ht="15" x14ac:dyDescent="0.25">
      <c r="G183" s="191"/>
      <c r="M183" s="183"/>
    </row>
    <row r="184" spans="7:13" ht="15" x14ac:dyDescent="0.25">
      <c r="G184" s="191"/>
    </row>
    <row r="185" spans="7:13" ht="15" x14ac:dyDescent="0.25">
      <c r="G185" s="191"/>
    </row>
    <row r="186" spans="7:13" ht="15" x14ac:dyDescent="0.25">
      <c r="G186" s="191"/>
      <c r="M186" s="183"/>
    </row>
    <row r="187" spans="7:13" ht="15" x14ac:dyDescent="0.25">
      <c r="G187" s="191"/>
    </row>
    <row r="188" spans="7:13" ht="15" x14ac:dyDescent="0.25">
      <c r="G188" s="191"/>
    </row>
    <row r="189" spans="7:13" ht="15" x14ac:dyDescent="0.25">
      <c r="G189" s="191"/>
      <c r="M189" s="183"/>
    </row>
    <row r="190" spans="7:13" ht="15" x14ac:dyDescent="0.25">
      <c r="G190" s="191"/>
    </row>
    <row r="191" spans="7:13" ht="15" x14ac:dyDescent="0.25">
      <c r="G191" s="191"/>
    </row>
    <row r="192" spans="7:13" ht="15" x14ac:dyDescent="0.25">
      <c r="G192" s="191"/>
      <c r="M192" s="183"/>
    </row>
    <row r="193" spans="7:13" ht="15" x14ac:dyDescent="0.25">
      <c r="G193" s="191"/>
    </row>
    <row r="194" spans="7:13" ht="15" x14ac:dyDescent="0.25">
      <c r="G194" s="191"/>
    </row>
    <row r="195" spans="7:13" ht="15" x14ac:dyDescent="0.25">
      <c r="G195" s="191"/>
      <c r="M195" s="183"/>
    </row>
    <row r="196" spans="7:13" ht="15" x14ac:dyDescent="0.25">
      <c r="G196" s="191"/>
    </row>
    <row r="197" spans="7:13" ht="15" x14ac:dyDescent="0.25">
      <c r="G197" s="191"/>
    </row>
    <row r="198" spans="7:13" ht="15" x14ac:dyDescent="0.25">
      <c r="G198" s="191"/>
      <c r="M198" s="183"/>
    </row>
    <row r="199" spans="7:13" ht="15" x14ac:dyDescent="0.25">
      <c r="G199" s="191"/>
    </row>
    <row r="200" spans="7:13" ht="15" x14ac:dyDescent="0.25">
      <c r="G200" s="191"/>
    </row>
    <row r="201" spans="7:13" ht="15" x14ac:dyDescent="0.25">
      <c r="G201" s="191"/>
      <c r="M201" s="183"/>
    </row>
    <row r="202" spans="7:13" ht="15" x14ac:dyDescent="0.25">
      <c r="G202" s="191"/>
    </row>
    <row r="203" spans="7:13" ht="15" x14ac:dyDescent="0.25">
      <c r="G203" s="191"/>
    </row>
    <row r="204" spans="7:13" ht="15" x14ac:dyDescent="0.25">
      <c r="G204" s="191"/>
      <c r="M204" s="183"/>
    </row>
    <row r="205" spans="7:13" ht="15" x14ac:dyDescent="0.25">
      <c r="G205" s="191"/>
    </row>
    <row r="206" spans="7:13" ht="15" x14ac:dyDescent="0.25">
      <c r="G206" s="191"/>
    </row>
    <row r="207" spans="7:13" ht="15" x14ac:dyDescent="0.25">
      <c r="G207" s="191"/>
      <c r="M207" s="183"/>
    </row>
    <row r="208" spans="7:13" ht="15" x14ac:dyDescent="0.25">
      <c r="G208" s="191"/>
    </row>
    <row r="209" spans="7:13" ht="15" x14ac:dyDescent="0.25">
      <c r="G209" s="191"/>
    </row>
    <row r="210" spans="7:13" ht="15" x14ac:dyDescent="0.25">
      <c r="G210" s="191"/>
      <c r="M210" s="183"/>
    </row>
    <row r="211" spans="7:13" ht="15" x14ac:dyDescent="0.25">
      <c r="G211" s="191"/>
    </row>
    <row r="212" spans="7:13" ht="15" x14ac:dyDescent="0.25">
      <c r="G212" s="191"/>
    </row>
    <row r="213" spans="7:13" ht="15" x14ac:dyDescent="0.25">
      <c r="G213" s="191"/>
      <c r="M213" s="183"/>
    </row>
    <row r="214" spans="7:13" ht="15" x14ac:dyDescent="0.25">
      <c r="G214" s="191"/>
    </row>
    <row r="215" spans="7:13" ht="15" x14ac:dyDescent="0.25">
      <c r="G215" s="191"/>
    </row>
    <row r="216" spans="7:13" ht="15" x14ac:dyDescent="0.25">
      <c r="G216" s="191"/>
      <c r="M216" s="183"/>
    </row>
    <row r="217" spans="7:13" ht="15" x14ac:dyDescent="0.25">
      <c r="G217" s="191"/>
    </row>
    <row r="218" spans="7:13" ht="15" x14ac:dyDescent="0.25">
      <c r="G218" s="191"/>
    </row>
    <row r="219" spans="7:13" ht="15" x14ac:dyDescent="0.25">
      <c r="G219" s="191"/>
      <c r="M219" s="183"/>
    </row>
    <row r="220" spans="7:13" ht="15" x14ac:dyDescent="0.25">
      <c r="G220" s="191"/>
    </row>
    <row r="221" spans="7:13" ht="15" x14ac:dyDescent="0.25">
      <c r="G221" s="191"/>
    </row>
    <row r="222" spans="7:13" ht="15" x14ac:dyDescent="0.25">
      <c r="G222" s="191"/>
      <c r="M222" s="183"/>
    </row>
    <row r="223" spans="7:13" ht="15" x14ac:dyDescent="0.25">
      <c r="G223" s="191"/>
    </row>
    <row r="224" spans="7:13" ht="15" x14ac:dyDescent="0.25">
      <c r="G224" s="191"/>
    </row>
    <row r="225" spans="7:13" ht="15" x14ac:dyDescent="0.25">
      <c r="G225" s="191"/>
      <c r="M225" s="183"/>
    </row>
    <row r="226" spans="7:13" ht="15" x14ac:dyDescent="0.25">
      <c r="G226" s="191"/>
    </row>
    <row r="227" spans="7:13" ht="15" x14ac:dyDescent="0.25">
      <c r="G227" s="191"/>
    </row>
    <row r="228" spans="7:13" ht="15" x14ac:dyDescent="0.25">
      <c r="G228" s="191"/>
      <c r="M228" s="183"/>
    </row>
    <row r="229" spans="7:13" ht="15" x14ac:dyDescent="0.25">
      <c r="G229" s="191"/>
    </row>
    <row r="230" spans="7:13" ht="15" x14ac:dyDescent="0.25">
      <c r="G230" s="191"/>
    </row>
    <row r="231" spans="7:13" ht="15" x14ac:dyDescent="0.25">
      <c r="G231" s="191"/>
      <c r="M231" s="183"/>
    </row>
    <row r="232" spans="7:13" ht="15" x14ac:dyDescent="0.25">
      <c r="G232" s="191"/>
    </row>
    <row r="233" spans="7:13" ht="15" x14ac:dyDescent="0.25">
      <c r="G233" s="191"/>
    </row>
    <row r="234" spans="7:13" ht="15" x14ac:dyDescent="0.25">
      <c r="G234" s="191"/>
      <c r="M234" s="183"/>
    </row>
    <row r="235" spans="7:13" ht="15" x14ac:dyDescent="0.25">
      <c r="G235" s="191"/>
    </row>
    <row r="236" spans="7:13" ht="15" x14ac:dyDescent="0.25">
      <c r="G236" s="191"/>
    </row>
    <row r="237" spans="7:13" ht="15" x14ac:dyDescent="0.25">
      <c r="G237" s="191"/>
      <c r="M237" s="183"/>
    </row>
    <row r="238" spans="7:13" ht="15" x14ac:dyDescent="0.25">
      <c r="G238" s="191"/>
    </row>
    <row r="239" spans="7:13" ht="15" x14ac:dyDescent="0.25">
      <c r="G239" s="191"/>
    </row>
    <row r="240" spans="7:13" ht="15" x14ac:dyDescent="0.25">
      <c r="G240" s="191"/>
      <c r="M240" s="183"/>
    </row>
    <row r="241" spans="7:13" ht="15" x14ac:dyDescent="0.25">
      <c r="G241" s="191"/>
    </row>
    <row r="242" spans="7:13" ht="15" x14ac:dyDescent="0.25">
      <c r="G242" s="191"/>
    </row>
    <row r="243" spans="7:13" ht="15" x14ac:dyDescent="0.25">
      <c r="G243" s="191"/>
      <c r="M243" s="183"/>
    </row>
    <row r="244" spans="7:13" ht="15" x14ac:dyDescent="0.25">
      <c r="G244" s="191"/>
    </row>
    <row r="245" spans="7:13" ht="15" x14ac:dyDescent="0.25">
      <c r="G245" s="191"/>
    </row>
    <row r="246" spans="7:13" ht="15" x14ac:dyDescent="0.25">
      <c r="G246" s="191"/>
      <c r="M246" s="183"/>
    </row>
    <row r="247" spans="7:13" ht="15" x14ac:dyDescent="0.25">
      <c r="G247" s="191"/>
    </row>
    <row r="248" spans="7:13" ht="15" x14ac:dyDescent="0.25">
      <c r="G248" s="191"/>
    </row>
    <row r="249" spans="7:13" ht="15" x14ac:dyDescent="0.25">
      <c r="G249" s="191"/>
      <c r="M249" s="183"/>
    </row>
    <row r="250" spans="7:13" ht="15" x14ac:dyDescent="0.25">
      <c r="G250" s="191"/>
    </row>
    <row r="251" spans="7:13" ht="15" x14ac:dyDescent="0.25">
      <c r="G251" s="191"/>
    </row>
    <row r="252" spans="7:13" ht="15" x14ac:dyDescent="0.25">
      <c r="G252" s="191"/>
      <c r="M252" s="183"/>
    </row>
    <row r="253" spans="7:13" ht="15" x14ac:dyDescent="0.25">
      <c r="G253" s="191"/>
    </row>
    <row r="254" spans="7:13" ht="15" x14ac:dyDescent="0.25">
      <c r="G254" s="191"/>
    </row>
    <row r="255" spans="7:13" ht="15" x14ac:dyDescent="0.25">
      <c r="G255" s="191"/>
      <c r="M255" s="183"/>
    </row>
    <row r="256" spans="7:13" ht="15" x14ac:dyDescent="0.25">
      <c r="G256" s="191"/>
    </row>
    <row r="257" spans="7:13" ht="15" x14ac:dyDescent="0.25">
      <c r="G257" s="191"/>
    </row>
    <row r="258" spans="7:13" ht="15" x14ac:dyDescent="0.25">
      <c r="G258" s="191"/>
      <c r="M258" s="183"/>
    </row>
    <row r="259" spans="7:13" ht="15" x14ac:dyDescent="0.25">
      <c r="G259" s="191"/>
    </row>
    <row r="260" spans="7:13" ht="15" x14ac:dyDescent="0.25">
      <c r="G260" s="191"/>
    </row>
    <row r="261" spans="7:13" ht="15" x14ac:dyDescent="0.25">
      <c r="G261" s="191"/>
      <c r="M261" s="183"/>
    </row>
    <row r="262" spans="7:13" ht="15" x14ac:dyDescent="0.25">
      <c r="G262" s="191"/>
    </row>
    <row r="263" spans="7:13" ht="15" x14ac:dyDescent="0.25">
      <c r="G263" s="191"/>
    </row>
    <row r="264" spans="7:13" ht="15" x14ac:dyDescent="0.25">
      <c r="G264" s="191"/>
      <c r="M264" s="183"/>
    </row>
    <row r="265" spans="7:13" ht="15" x14ac:dyDescent="0.25">
      <c r="G265" s="191"/>
    </row>
    <row r="266" spans="7:13" ht="15" x14ac:dyDescent="0.25">
      <c r="G266" s="191"/>
    </row>
    <row r="267" spans="7:13" ht="15" x14ac:dyDescent="0.25">
      <c r="G267" s="191"/>
      <c r="M267" s="183"/>
    </row>
    <row r="268" spans="7:13" ht="15" x14ac:dyDescent="0.25">
      <c r="G268" s="191"/>
    </row>
    <row r="269" spans="7:13" ht="15" x14ac:dyDescent="0.25">
      <c r="G269" s="191"/>
    </row>
    <row r="270" spans="7:13" ht="15" x14ac:dyDescent="0.25">
      <c r="G270" s="191"/>
      <c r="M270" s="183"/>
    </row>
    <row r="271" spans="7:13" ht="15" x14ac:dyDescent="0.25">
      <c r="G271" s="191"/>
    </row>
    <row r="272" spans="7:13" ht="15" x14ac:dyDescent="0.25">
      <c r="G272" s="191"/>
    </row>
    <row r="273" spans="3:13" ht="15" x14ac:dyDescent="0.25">
      <c r="G273" s="191"/>
      <c r="M273" s="183"/>
    </row>
    <row r="274" spans="3:13" ht="15" x14ac:dyDescent="0.25">
      <c r="G274" s="191"/>
    </row>
    <row r="275" spans="3:13" ht="15" x14ac:dyDescent="0.25">
      <c r="G275" s="191"/>
    </row>
    <row r="276" spans="3:13" ht="15" x14ac:dyDescent="0.25">
      <c r="G276" s="191"/>
      <c r="M276" s="183"/>
    </row>
    <row r="277" spans="3:13" ht="15" x14ac:dyDescent="0.25">
      <c r="G277" s="191"/>
    </row>
    <row r="278" spans="3:13" ht="15" x14ac:dyDescent="0.25">
      <c r="G278" s="191"/>
    </row>
    <row r="279" spans="3:13" ht="15" x14ac:dyDescent="0.25">
      <c r="G279" s="191"/>
      <c r="M279" s="183"/>
    </row>
    <row r="280" spans="3:13" ht="15" x14ac:dyDescent="0.25">
      <c r="C280" s="191"/>
      <c r="G280" s="191"/>
    </row>
    <row r="281" spans="3:13" ht="15" x14ac:dyDescent="0.25">
      <c r="C281" s="191"/>
      <c r="G281" s="191"/>
    </row>
    <row r="282" spans="3:13" ht="15" x14ac:dyDescent="0.25">
      <c r="C282" s="191"/>
      <c r="G282" s="191"/>
      <c r="M282" s="183"/>
    </row>
    <row r="283" spans="3:13" ht="15" x14ac:dyDescent="0.25">
      <c r="C283" s="191"/>
      <c r="G283" s="191"/>
    </row>
    <row r="284" spans="3:13" ht="15" x14ac:dyDescent="0.25">
      <c r="C284" s="191"/>
    </row>
    <row r="285" spans="3:13" ht="15" x14ac:dyDescent="0.25">
      <c r="C285" s="191"/>
      <c r="M285" s="183"/>
    </row>
    <row r="286" spans="3:13" ht="15" x14ac:dyDescent="0.25">
      <c r="C286" s="191"/>
    </row>
    <row r="287" spans="3:13" ht="15" x14ac:dyDescent="0.25">
      <c r="C287" s="191"/>
    </row>
    <row r="288" spans="3:13" ht="15" x14ac:dyDescent="0.25">
      <c r="C288" s="191"/>
      <c r="M288" s="183"/>
    </row>
    <row r="289" spans="3:13" ht="15" x14ac:dyDescent="0.25">
      <c r="C289" s="191"/>
    </row>
    <row r="290" spans="3:13" ht="15" x14ac:dyDescent="0.25">
      <c r="C290" s="191"/>
    </row>
    <row r="291" spans="3:13" ht="15" x14ac:dyDescent="0.25">
      <c r="C291" s="191"/>
      <c r="M291" s="183"/>
    </row>
    <row r="292" spans="3:13" ht="15" x14ac:dyDescent="0.25">
      <c r="C292" s="191"/>
    </row>
    <row r="293" spans="3:13" ht="15" x14ac:dyDescent="0.25">
      <c r="C293" s="191"/>
    </row>
    <row r="294" spans="3:13" ht="15" x14ac:dyDescent="0.25">
      <c r="C294" s="191"/>
      <c r="M294" s="183"/>
    </row>
    <row r="295" spans="3:13" ht="15" x14ac:dyDescent="0.25">
      <c r="C295" s="191"/>
    </row>
    <row r="296" spans="3:13" ht="15" x14ac:dyDescent="0.25">
      <c r="C296" s="191"/>
    </row>
    <row r="297" spans="3:13" ht="15" x14ac:dyDescent="0.25">
      <c r="C297" s="191"/>
      <c r="M297" s="183"/>
    </row>
    <row r="298" spans="3:13" ht="15" x14ac:dyDescent="0.25">
      <c r="C298" s="191"/>
    </row>
    <row r="299" spans="3:13" ht="15" x14ac:dyDescent="0.25">
      <c r="C299" s="191"/>
    </row>
    <row r="300" spans="3:13" ht="15" x14ac:dyDescent="0.25">
      <c r="C300" s="191"/>
      <c r="M300" s="183"/>
    </row>
    <row r="301" spans="3:13" ht="15" x14ac:dyDescent="0.25">
      <c r="C301" s="191"/>
    </row>
    <row r="302" spans="3:13" ht="15" x14ac:dyDescent="0.25">
      <c r="C302" s="191"/>
    </row>
    <row r="303" spans="3:13" ht="15" x14ac:dyDescent="0.25">
      <c r="C303" s="191"/>
      <c r="M303" s="183"/>
    </row>
    <row r="304" spans="3:13" ht="15" x14ac:dyDescent="0.25">
      <c r="C304" s="191"/>
    </row>
    <row r="305" spans="3:13" ht="15" x14ac:dyDescent="0.25">
      <c r="C305" s="191"/>
    </row>
    <row r="306" spans="3:13" ht="15" x14ac:dyDescent="0.25">
      <c r="C306" s="191"/>
      <c r="M306" s="183"/>
    </row>
    <row r="307" spans="3:13" ht="15" x14ac:dyDescent="0.25">
      <c r="C307" s="191"/>
    </row>
    <row r="308" spans="3:13" ht="15" x14ac:dyDescent="0.25">
      <c r="C308" s="191"/>
    </row>
    <row r="309" spans="3:13" ht="15" x14ac:dyDescent="0.25">
      <c r="C309" s="191"/>
      <c r="M309" s="183"/>
    </row>
    <row r="310" spans="3:13" ht="15" x14ac:dyDescent="0.25">
      <c r="C310" s="191"/>
    </row>
    <row r="311" spans="3:13" ht="15" x14ac:dyDescent="0.25">
      <c r="C311" s="191"/>
    </row>
    <row r="312" spans="3:13" ht="15" x14ac:dyDescent="0.25">
      <c r="C312" s="191"/>
      <c r="M312" s="183"/>
    </row>
    <row r="313" spans="3:13" ht="15" x14ac:dyDescent="0.25">
      <c r="C313" s="191"/>
    </row>
    <row r="314" spans="3:13" ht="15" x14ac:dyDescent="0.25">
      <c r="C314" s="191"/>
    </row>
    <row r="315" spans="3:13" ht="15" x14ac:dyDescent="0.25">
      <c r="C315" s="191"/>
      <c r="M315" s="183"/>
    </row>
    <row r="316" spans="3:13" ht="15" x14ac:dyDescent="0.25">
      <c r="C316" s="191"/>
    </row>
    <row r="317" spans="3:13" ht="15" x14ac:dyDescent="0.25">
      <c r="C317" s="191"/>
    </row>
    <row r="318" spans="3:13" ht="15" x14ac:dyDescent="0.25">
      <c r="C318" s="191"/>
      <c r="M318" s="183"/>
    </row>
    <row r="319" spans="3:13" ht="15" x14ac:dyDescent="0.25">
      <c r="C319" s="191"/>
    </row>
    <row r="320" spans="3:13" ht="15" x14ac:dyDescent="0.25">
      <c r="C320" s="191"/>
    </row>
    <row r="321" spans="3:13" ht="15" x14ac:dyDescent="0.25">
      <c r="C321" s="191"/>
      <c r="M321" s="183"/>
    </row>
    <row r="322" spans="3:13" ht="15" x14ac:dyDescent="0.25">
      <c r="C322" s="191"/>
    </row>
    <row r="323" spans="3:13" ht="15" x14ac:dyDescent="0.25">
      <c r="C323" s="191"/>
    </row>
    <row r="324" spans="3:13" ht="15" x14ac:dyDescent="0.25">
      <c r="C324" s="191"/>
      <c r="M324" s="183"/>
    </row>
    <row r="325" spans="3:13" ht="15" x14ac:dyDescent="0.25">
      <c r="C325" s="191"/>
    </row>
    <row r="326" spans="3:13" ht="15" x14ac:dyDescent="0.25">
      <c r="C326" s="191"/>
    </row>
    <row r="327" spans="3:13" ht="15" x14ac:dyDescent="0.25">
      <c r="C327" s="191"/>
      <c r="M327" s="183"/>
    </row>
    <row r="328" spans="3:13" ht="15" x14ac:dyDescent="0.25">
      <c r="C328" s="191"/>
    </row>
    <row r="329" spans="3:13" ht="15" x14ac:dyDescent="0.25">
      <c r="C329" s="191"/>
    </row>
    <row r="330" spans="3:13" ht="15" x14ac:dyDescent="0.25">
      <c r="C330" s="191"/>
      <c r="M330" s="183"/>
    </row>
    <row r="331" spans="3:13" ht="15" x14ac:dyDescent="0.25">
      <c r="C331" s="191"/>
    </row>
    <row r="332" spans="3:13" ht="15" x14ac:dyDescent="0.25">
      <c r="C332" s="191"/>
    </row>
    <row r="333" spans="3:13" ht="15" x14ac:dyDescent="0.25">
      <c r="C333" s="191"/>
      <c r="M333" s="183"/>
    </row>
    <row r="334" spans="3:13" ht="15" x14ac:dyDescent="0.25">
      <c r="C334" s="191"/>
    </row>
    <row r="335" spans="3:13" ht="15" x14ac:dyDescent="0.25">
      <c r="C335" s="191"/>
    </row>
    <row r="336" spans="3:13" ht="15" x14ac:dyDescent="0.25">
      <c r="C336" s="191"/>
      <c r="M336" s="183"/>
    </row>
    <row r="337" spans="3:13" ht="15" x14ac:dyDescent="0.25">
      <c r="C337" s="191"/>
    </row>
    <row r="338" spans="3:13" ht="15" x14ac:dyDescent="0.25">
      <c r="C338" s="191"/>
    </row>
    <row r="339" spans="3:13" ht="15" x14ac:dyDescent="0.25">
      <c r="C339" s="191"/>
      <c r="M339" s="183"/>
    </row>
    <row r="340" spans="3:13" ht="15" x14ac:dyDescent="0.25">
      <c r="C340" s="191"/>
    </row>
    <row r="341" spans="3:13" ht="15" x14ac:dyDescent="0.25">
      <c r="C341" s="191"/>
    </row>
    <row r="342" spans="3:13" ht="15" x14ac:dyDescent="0.25">
      <c r="C342" s="191"/>
      <c r="M342" s="183"/>
    </row>
    <row r="343" spans="3:13" ht="15" x14ac:dyDescent="0.25">
      <c r="C343" s="191"/>
    </row>
    <row r="344" spans="3:13" ht="15" x14ac:dyDescent="0.25">
      <c r="C344" s="191"/>
    </row>
    <row r="345" spans="3:13" ht="15" x14ac:dyDescent="0.25">
      <c r="C345" s="191"/>
      <c r="M345" s="183"/>
    </row>
    <row r="346" spans="3:13" ht="15" x14ac:dyDescent="0.25">
      <c r="C346" s="191"/>
    </row>
    <row r="347" spans="3:13" ht="15" x14ac:dyDescent="0.25">
      <c r="C347" s="191"/>
    </row>
    <row r="348" spans="3:13" ht="15" x14ac:dyDescent="0.25">
      <c r="C348" s="191"/>
      <c r="M348" s="183"/>
    </row>
    <row r="349" spans="3:13" ht="15" x14ac:dyDescent="0.25">
      <c r="C349" s="191"/>
    </row>
    <row r="350" spans="3:13" ht="15" x14ac:dyDescent="0.25">
      <c r="C350" s="191"/>
    </row>
    <row r="351" spans="3:13" ht="15" x14ac:dyDescent="0.25">
      <c r="C351" s="191"/>
      <c r="M351" s="183"/>
    </row>
    <row r="352" spans="3:13" ht="15" x14ac:dyDescent="0.25">
      <c r="C352" s="191"/>
    </row>
    <row r="353" spans="3:13" ht="15" x14ac:dyDescent="0.25">
      <c r="C353" s="191"/>
    </row>
    <row r="354" spans="3:13" ht="15" x14ac:dyDescent="0.25">
      <c r="C354" s="191"/>
      <c r="M354" s="183"/>
    </row>
    <row r="355" spans="3:13" ht="15" x14ac:dyDescent="0.25">
      <c r="C355" s="191"/>
    </row>
    <row r="356" spans="3:13" ht="15" x14ac:dyDescent="0.25">
      <c r="C356" s="191"/>
    </row>
    <row r="357" spans="3:13" ht="15" x14ac:dyDescent="0.25">
      <c r="C357" s="191"/>
      <c r="M357" s="183"/>
    </row>
    <row r="358" spans="3:13" ht="15" x14ac:dyDescent="0.25">
      <c r="C358" s="191"/>
    </row>
    <row r="359" spans="3:13" ht="15" x14ac:dyDescent="0.25">
      <c r="C359" s="191"/>
    </row>
    <row r="360" spans="3:13" ht="15" x14ac:dyDescent="0.25">
      <c r="C360" s="191"/>
      <c r="M360" s="183"/>
    </row>
    <row r="361" spans="3:13" ht="15" x14ac:dyDescent="0.25">
      <c r="C361" s="191"/>
    </row>
    <row r="362" spans="3:13" ht="15" x14ac:dyDescent="0.25">
      <c r="C362" s="191"/>
    </row>
    <row r="363" spans="3:13" ht="15" x14ac:dyDescent="0.25">
      <c r="C363" s="191"/>
    </row>
    <row r="364" spans="3:13" ht="15" x14ac:dyDescent="0.25">
      <c r="C364" s="191"/>
    </row>
    <row r="365" spans="3:13" ht="15" x14ac:dyDescent="0.25">
      <c r="C365" s="191"/>
    </row>
    <row r="366" spans="3:13" ht="15" x14ac:dyDescent="0.25">
      <c r="C366" s="191"/>
    </row>
    <row r="367" spans="3:13" ht="15" x14ac:dyDescent="0.25">
      <c r="C367" s="191"/>
    </row>
    <row r="368" spans="3:13" ht="15" x14ac:dyDescent="0.25">
      <c r="C368" s="191"/>
    </row>
    <row r="369" spans="3:3" ht="15" x14ac:dyDescent="0.25">
      <c r="C369" s="191"/>
    </row>
    <row r="370" spans="3:3" ht="15" x14ac:dyDescent="0.25">
      <c r="C370" s="191"/>
    </row>
    <row r="371" spans="3:3" ht="15" x14ac:dyDescent="0.25">
      <c r="C371" s="191"/>
    </row>
    <row r="372" spans="3:3" ht="15" x14ac:dyDescent="0.25">
      <c r="C372" s="191"/>
    </row>
    <row r="373" spans="3:3" ht="15" x14ac:dyDescent="0.25">
      <c r="C373" s="191"/>
    </row>
    <row r="374" spans="3:3" ht="15" x14ac:dyDescent="0.25">
      <c r="C374" s="191"/>
    </row>
    <row r="375" spans="3:3" ht="15" x14ac:dyDescent="0.25">
      <c r="C375" s="191"/>
    </row>
    <row r="376" spans="3:3" ht="15" x14ac:dyDescent="0.25">
      <c r="C376" s="191"/>
    </row>
    <row r="377" spans="3:3" ht="15" x14ac:dyDescent="0.25">
      <c r="C377" s="191"/>
    </row>
    <row r="378" spans="3:3" ht="15" x14ac:dyDescent="0.25">
      <c r="C378" s="191"/>
    </row>
    <row r="379" spans="3:3" ht="15" x14ac:dyDescent="0.25">
      <c r="C379" s="191"/>
    </row>
    <row r="380" spans="3:3" ht="15" x14ac:dyDescent="0.25">
      <c r="C380" s="191"/>
    </row>
    <row r="381" spans="3:3" ht="15" x14ac:dyDescent="0.25">
      <c r="C381" s="191"/>
    </row>
    <row r="382" spans="3:3" ht="15" x14ac:dyDescent="0.25">
      <c r="C382" s="191"/>
    </row>
    <row r="383" spans="3:3" ht="15" x14ac:dyDescent="0.25">
      <c r="C383" s="191"/>
    </row>
    <row r="384" spans="3:3" ht="15" x14ac:dyDescent="0.25">
      <c r="C384" s="191"/>
    </row>
    <row r="385" spans="3:3" ht="15" x14ac:dyDescent="0.25">
      <c r="C385" s="191"/>
    </row>
    <row r="386" spans="3:3" ht="15" x14ac:dyDescent="0.25">
      <c r="C386" s="191"/>
    </row>
    <row r="387" spans="3:3" ht="15" x14ac:dyDescent="0.25">
      <c r="C387" s="191"/>
    </row>
    <row r="388" spans="3:3" ht="15" x14ac:dyDescent="0.25">
      <c r="C388" s="191"/>
    </row>
    <row r="389" spans="3:3" ht="15" x14ac:dyDescent="0.25">
      <c r="C389" s="191"/>
    </row>
    <row r="390" spans="3:3" ht="15" x14ac:dyDescent="0.25">
      <c r="C390" s="191"/>
    </row>
    <row r="391" spans="3:3" ht="15" x14ac:dyDescent="0.25">
      <c r="C391" s="191"/>
    </row>
    <row r="392" spans="3:3" ht="15" x14ac:dyDescent="0.25">
      <c r="C392" s="191"/>
    </row>
    <row r="393" spans="3:3" ht="15" x14ac:dyDescent="0.25">
      <c r="C393" s="191"/>
    </row>
    <row r="394" spans="3:3" ht="15" x14ac:dyDescent="0.25">
      <c r="C394" s="191"/>
    </row>
    <row r="395" spans="3:3" ht="15" x14ac:dyDescent="0.25">
      <c r="C395" s="191"/>
    </row>
    <row r="396" spans="3:3" ht="15" x14ac:dyDescent="0.25">
      <c r="C396" s="191"/>
    </row>
    <row r="397" spans="3:3" ht="15" x14ac:dyDescent="0.25">
      <c r="C397" s="191"/>
    </row>
    <row r="398" spans="3:3" ht="15" x14ac:dyDescent="0.25">
      <c r="C398" s="191"/>
    </row>
    <row r="399" spans="3:3" ht="15" x14ac:dyDescent="0.25">
      <c r="C399" s="191"/>
    </row>
    <row r="400" spans="3:3" ht="15" x14ac:dyDescent="0.25">
      <c r="C400" s="191"/>
    </row>
    <row r="401" spans="3:3" ht="15" x14ac:dyDescent="0.25">
      <c r="C401" s="191"/>
    </row>
    <row r="402" spans="3:3" ht="15" x14ac:dyDescent="0.25">
      <c r="C402" s="191"/>
    </row>
    <row r="403" spans="3:3" ht="15" x14ac:dyDescent="0.25">
      <c r="C403" s="191"/>
    </row>
    <row r="404" spans="3:3" ht="15" x14ac:dyDescent="0.25">
      <c r="C404" s="191"/>
    </row>
    <row r="405" spans="3:3" ht="15" x14ac:dyDescent="0.25">
      <c r="C405" s="191"/>
    </row>
    <row r="406" spans="3:3" ht="15" x14ac:dyDescent="0.25">
      <c r="C406" s="191"/>
    </row>
    <row r="407" spans="3:3" ht="15" x14ac:dyDescent="0.25">
      <c r="C407" s="191"/>
    </row>
    <row r="408" spans="3:3" ht="15" x14ac:dyDescent="0.25">
      <c r="C408" s="191"/>
    </row>
    <row r="409" spans="3:3" ht="15" x14ac:dyDescent="0.25">
      <c r="C409" s="191"/>
    </row>
    <row r="410" spans="3:3" ht="15" x14ac:dyDescent="0.25">
      <c r="C410" s="191"/>
    </row>
    <row r="411" spans="3:3" ht="15" x14ac:dyDescent="0.25">
      <c r="C411" s="191"/>
    </row>
    <row r="412" spans="3:3" ht="15" x14ac:dyDescent="0.25">
      <c r="C412" s="191"/>
    </row>
    <row r="413" spans="3:3" ht="15" x14ac:dyDescent="0.25">
      <c r="C413" s="191"/>
    </row>
    <row r="414" spans="3:3" ht="15" x14ac:dyDescent="0.25">
      <c r="C414" s="191"/>
    </row>
    <row r="415" spans="3:3" ht="15" x14ac:dyDescent="0.25">
      <c r="C415" s="191"/>
    </row>
    <row r="416" spans="3:3" ht="15" x14ac:dyDescent="0.25">
      <c r="C416" s="191"/>
    </row>
    <row r="417" spans="3:3" ht="15" x14ac:dyDescent="0.25">
      <c r="C417" s="191"/>
    </row>
    <row r="418" spans="3:3" ht="15" x14ac:dyDescent="0.25">
      <c r="C418" s="191"/>
    </row>
  </sheetData>
  <phoneticPr fontId="90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6"/>
  <sheetViews>
    <sheetView topLeftCell="A9" workbookViewId="0">
      <selection activeCell="N37" sqref="N37"/>
    </sheetView>
  </sheetViews>
  <sheetFormatPr defaultRowHeight="15" x14ac:dyDescent="0.25"/>
  <cols>
    <col min="1" max="1" width="7.28515625" customWidth="1"/>
    <col min="12" max="12" width="6.5703125" bestFit="1" customWidth="1"/>
  </cols>
  <sheetData>
    <row r="1" spans="1:14" ht="25.5" x14ac:dyDescent="0.25">
      <c r="A1" s="184" t="s">
        <v>0</v>
      </c>
      <c r="B1" s="185" t="s">
        <v>18</v>
      </c>
      <c r="C1" s="186" t="s">
        <v>19</v>
      </c>
      <c r="D1" s="186" t="s">
        <v>20</v>
      </c>
      <c r="E1" s="186" t="s">
        <v>21</v>
      </c>
      <c r="F1" s="186" t="s">
        <v>22</v>
      </c>
      <c r="G1" s="186" t="s">
        <v>23</v>
      </c>
      <c r="H1" s="186" t="s">
        <v>24</v>
      </c>
      <c r="I1" s="186" t="s">
        <v>25</v>
      </c>
      <c r="J1" s="186" t="s">
        <v>26</v>
      </c>
      <c r="K1" s="186" t="s">
        <v>27</v>
      </c>
      <c r="L1" s="186" t="s">
        <v>28</v>
      </c>
    </row>
    <row r="2" spans="1:14" x14ac:dyDescent="0.25">
      <c r="A2" s="187">
        <v>1991</v>
      </c>
      <c r="B2" s="189">
        <v>100.31</v>
      </c>
      <c r="C2" s="189">
        <v>98.247499999999988</v>
      </c>
      <c r="D2" s="189">
        <v>99.767499999999998</v>
      </c>
      <c r="E2" s="189">
        <v>100.11249999999998</v>
      </c>
      <c r="F2" s="189">
        <v>100.67749999999999</v>
      </c>
      <c r="G2" s="189">
        <v>100.63499999999999</v>
      </c>
      <c r="H2" s="189">
        <v>100.4675</v>
      </c>
      <c r="I2" s="189">
        <v>101.03500000000001</v>
      </c>
      <c r="J2" s="189">
        <v>101.28</v>
      </c>
      <c r="K2" s="189">
        <v>99.89</v>
      </c>
      <c r="L2" s="188">
        <v>75.920333333333332</v>
      </c>
      <c r="M2" s="189"/>
      <c r="N2" s="189"/>
    </row>
    <row r="3" spans="1:14" x14ac:dyDescent="0.25">
      <c r="A3" s="187">
        <v>1992</v>
      </c>
      <c r="B3" s="189">
        <v>102.78249999999998</v>
      </c>
      <c r="C3" s="189">
        <v>96.83</v>
      </c>
      <c r="D3" s="189">
        <v>101.31</v>
      </c>
      <c r="E3" s="189">
        <v>102.05499999999999</v>
      </c>
      <c r="F3" s="189">
        <v>104.27</v>
      </c>
      <c r="G3" s="189">
        <v>103.575</v>
      </c>
      <c r="H3" s="189">
        <v>104.16500000000001</v>
      </c>
      <c r="I3" s="189">
        <v>105.27500000000001</v>
      </c>
      <c r="J3" s="189">
        <v>107.27000000000001</v>
      </c>
      <c r="K3" s="189">
        <v>99.922499999999999</v>
      </c>
      <c r="L3" s="188">
        <v>76.329833333333326</v>
      </c>
      <c r="M3" s="189"/>
      <c r="N3" s="189"/>
    </row>
    <row r="4" spans="1:14" x14ac:dyDescent="0.25">
      <c r="A4" s="187">
        <v>1993</v>
      </c>
      <c r="B4" s="189">
        <v>105.245</v>
      </c>
      <c r="C4" s="189">
        <v>94.81</v>
      </c>
      <c r="D4" s="189">
        <v>101.61749999999999</v>
      </c>
      <c r="E4" s="189">
        <v>104.1725</v>
      </c>
      <c r="F4" s="189">
        <v>108.69750000000001</v>
      </c>
      <c r="G4" s="189">
        <v>107.735</v>
      </c>
      <c r="H4" s="189">
        <v>109.4375</v>
      </c>
      <c r="I4" s="189">
        <v>109.88749999999999</v>
      </c>
      <c r="J4" s="189">
        <v>116.16500000000001</v>
      </c>
      <c r="K4" s="189">
        <v>97.327500000000001</v>
      </c>
      <c r="L4" s="188">
        <v>77.414749999999998</v>
      </c>
      <c r="M4" s="189"/>
      <c r="N4" s="189"/>
    </row>
    <row r="5" spans="1:14" x14ac:dyDescent="0.25">
      <c r="A5" s="187">
        <v>1994</v>
      </c>
      <c r="B5" s="189">
        <v>108.72250000000001</v>
      </c>
      <c r="C5" s="189">
        <v>95.39500000000001</v>
      </c>
      <c r="D5" s="189">
        <v>101.79</v>
      </c>
      <c r="E5" s="189">
        <v>107.60749999999999</v>
      </c>
      <c r="F5" s="189">
        <v>114.7325</v>
      </c>
      <c r="G5" s="189">
        <v>112.36500000000001</v>
      </c>
      <c r="H5" s="189">
        <v>115.44</v>
      </c>
      <c r="I5" s="189">
        <v>115.52499999999999</v>
      </c>
      <c r="J5" s="189">
        <v>127.51749999999998</v>
      </c>
      <c r="K5" s="189">
        <v>96.047499999999985</v>
      </c>
      <c r="L5" s="188">
        <v>79.46841666666667</v>
      </c>
      <c r="M5" s="189"/>
      <c r="N5" s="189"/>
    </row>
    <row r="6" spans="1:14" x14ac:dyDescent="0.25">
      <c r="A6" s="187">
        <v>1995</v>
      </c>
      <c r="B6" s="189">
        <v>111.50500000000001</v>
      </c>
      <c r="C6" s="189">
        <v>95.812500000000014</v>
      </c>
      <c r="D6" s="189">
        <v>101.36999999999999</v>
      </c>
      <c r="E6" s="189">
        <v>110.5975</v>
      </c>
      <c r="F6" s="189">
        <v>119.8925</v>
      </c>
      <c r="G6" s="189">
        <v>115.28</v>
      </c>
      <c r="H6" s="189">
        <v>120.44000000000001</v>
      </c>
      <c r="I6" s="189">
        <v>121.07499999999999</v>
      </c>
      <c r="J6" s="189">
        <v>134.97750000000002</v>
      </c>
      <c r="K6" s="189">
        <v>95.327500000000001</v>
      </c>
      <c r="L6" s="188">
        <v>80.99175000000001</v>
      </c>
      <c r="M6" s="189"/>
      <c r="N6" s="189"/>
    </row>
    <row r="7" spans="1:14" x14ac:dyDescent="0.25">
      <c r="A7" s="187">
        <v>1996</v>
      </c>
      <c r="B7" s="189">
        <v>114.72749999999999</v>
      </c>
      <c r="C7" s="189">
        <v>98.179999999999993</v>
      </c>
      <c r="D7" s="189">
        <v>102.2175</v>
      </c>
      <c r="E7" s="189">
        <v>113.80249999999999</v>
      </c>
      <c r="F7" s="189">
        <v>124.97749999999999</v>
      </c>
      <c r="G7" s="189">
        <v>118.5</v>
      </c>
      <c r="H7" s="189">
        <v>125.6825</v>
      </c>
      <c r="I7" s="189">
        <v>126.92249999999999</v>
      </c>
      <c r="J7" s="189">
        <v>140.8775</v>
      </c>
      <c r="K7" s="189">
        <v>95.495000000000005</v>
      </c>
      <c r="L7" s="188">
        <v>82.807666666666677</v>
      </c>
      <c r="M7" s="189"/>
      <c r="N7" s="189"/>
    </row>
    <row r="8" spans="1:14" x14ac:dyDescent="0.25">
      <c r="A8" s="187">
        <v>1997</v>
      </c>
      <c r="B8" s="189">
        <v>117.96249999999999</v>
      </c>
      <c r="C8" s="189">
        <v>101.02</v>
      </c>
      <c r="D8" s="189">
        <v>103.38500000000001</v>
      </c>
      <c r="E8" s="189">
        <v>116.91249999999999</v>
      </c>
      <c r="F8" s="189">
        <v>129.30250000000001</v>
      </c>
      <c r="G8" s="189">
        <v>121.47500000000001</v>
      </c>
      <c r="H8" s="189">
        <v>130.27000000000001</v>
      </c>
      <c r="I8" s="189">
        <v>131.3725</v>
      </c>
      <c r="J8" s="189">
        <v>145.27999999999997</v>
      </c>
      <c r="K8" s="189">
        <v>98.100000000000009</v>
      </c>
      <c r="L8" s="188">
        <v>85.315416666666678</v>
      </c>
      <c r="M8" s="189"/>
      <c r="N8" s="189"/>
    </row>
    <row r="9" spans="1:14" x14ac:dyDescent="0.25">
      <c r="A9" s="187">
        <v>1998</v>
      </c>
      <c r="B9" s="189">
        <v>123.64249999999998</v>
      </c>
      <c r="C9" s="189">
        <v>107.7625</v>
      </c>
      <c r="D9" s="189">
        <v>107.26750000000001</v>
      </c>
      <c r="E9" s="189">
        <v>121.62500000000001</v>
      </c>
      <c r="F9" s="189">
        <v>134.185</v>
      </c>
      <c r="G9" s="189">
        <v>127.185</v>
      </c>
      <c r="H9" s="189">
        <v>136.935</v>
      </c>
      <c r="I9" s="189">
        <v>136.83249999999998</v>
      </c>
      <c r="J9" s="189">
        <v>150.99250000000001</v>
      </c>
      <c r="K9" s="189">
        <v>105.74250000000001</v>
      </c>
      <c r="L9" s="188">
        <v>90.095083333333349</v>
      </c>
      <c r="M9" s="189"/>
      <c r="N9" s="189"/>
    </row>
    <row r="10" spans="1:14" x14ac:dyDescent="0.25">
      <c r="A10" s="187">
        <v>1999</v>
      </c>
      <c r="B10" s="189">
        <v>131.14250000000001</v>
      </c>
      <c r="C10" s="189">
        <v>117.86499999999999</v>
      </c>
      <c r="D10" s="189">
        <v>113.81500000000001</v>
      </c>
      <c r="E10" s="189">
        <v>128.17750000000001</v>
      </c>
      <c r="F10" s="189">
        <v>139.97250000000003</v>
      </c>
      <c r="G10" s="189">
        <v>134.14500000000001</v>
      </c>
      <c r="H10" s="189">
        <v>145.58249999999998</v>
      </c>
      <c r="I10" s="189">
        <v>143.9725</v>
      </c>
      <c r="J10" s="189">
        <v>159.02500000000001</v>
      </c>
      <c r="K10" s="189">
        <v>114.7</v>
      </c>
      <c r="L10" s="188">
        <v>96.36699999999999</v>
      </c>
      <c r="M10" s="189"/>
      <c r="N10" s="189"/>
    </row>
    <row r="11" spans="1:14" x14ac:dyDescent="0.25">
      <c r="A11" s="187">
        <v>2000</v>
      </c>
      <c r="B11" s="189">
        <v>139.88749999999999</v>
      </c>
      <c r="C11" s="189">
        <v>131.51500000000001</v>
      </c>
      <c r="D11" s="189">
        <v>122.6275</v>
      </c>
      <c r="E11" s="189">
        <v>135.95499999999998</v>
      </c>
      <c r="F11" s="189">
        <v>144.56</v>
      </c>
      <c r="G11" s="189">
        <v>141.79000000000002</v>
      </c>
      <c r="H11" s="189">
        <v>154.47499999999999</v>
      </c>
      <c r="I11" s="189">
        <v>151.61750000000001</v>
      </c>
      <c r="J11" s="189">
        <v>167.79</v>
      </c>
      <c r="K11" s="189">
        <v>126.3125</v>
      </c>
      <c r="L11" s="188">
        <v>104.76941666666667</v>
      </c>
      <c r="M11" s="189"/>
      <c r="N11" s="189"/>
    </row>
    <row r="12" spans="1:14" x14ac:dyDescent="0.25">
      <c r="A12" s="187">
        <v>2001</v>
      </c>
      <c r="B12" s="189">
        <v>149.52749999999997</v>
      </c>
      <c r="C12" s="189">
        <v>147.99749999999997</v>
      </c>
      <c r="D12" s="189">
        <v>133.63499999999999</v>
      </c>
      <c r="E12" s="189">
        <v>145.62</v>
      </c>
      <c r="F12" s="189">
        <v>148.56</v>
      </c>
      <c r="G12" s="189">
        <v>148.2525</v>
      </c>
      <c r="H12" s="189">
        <v>163.97</v>
      </c>
      <c r="I12" s="189">
        <v>158.82</v>
      </c>
      <c r="J12" s="189">
        <v>177.435</v>
      </c>
      <c r="K12" s="189">
        <v>140.01750000000001</v>
      </c>
      <c r="L12" s="188">
        <v>113.18008333333333</v>
      </c>
      <c r="M12" s="189"/>
      <c r="N12" s="189"/>
    </row>
    <row r="13" spans="1:14" x14ac:dyDescent="0.25">
      <c r="A13" s="187">
        <v>2002</v>
      </c>
      <c r="B13" s="189">
        <v>159.99999999999997</v>
      </c>
      <c r="C13" s="189">
        <v>166.58249999999998</v>
      </c>
      <c r="D13" s="189">
        <v>147.995</v>
      </c>
      <c r="E13" s="189">
        <v>156.655</v>
      </c>
      <c r="F13" s="189">
        <v>153.11250000000001</v>
      </c>
      <c r="G13" s="189">
        <v>153.48250000000002</v>
      </c>
      <c r="H13" s="189">
        <v>172.92500000000001</v>
      </c>
      <c r="I13" s="189">
        <v>165.8175</v>
      </c>
      <c r="J13" s="189">
        <v>186.07</v>
      </c>
      <c r="K13" s="189">
        <v>156.51249999999999</v>
      </c>
      <c r="L13" s="188">
        <v>122.28016666666667</v>
      </c>
      <c r="M13" s="189"/>
      <c r="N13" s="189"/>
    </row>
    <row r="14" spans="1:14" x14ac:dyDescent="0.25">
      <c r="A14" s="187">
        <v>2003</v>
      </c>
      <c r="B14" s="189">
        <v>172.21</v>
      </c>
      <c r="C14" s="189">
        <v>185.19499999999996</v>
      </c>
      <c r="D14" s="189">
        <v>164.6825</v>
      </c>
      <c r="E14" s="189">
        <v>169.64</v>
      </c>
      <c r="F14" s="189">
        <v>159.3425</v>
      </c>
      <c r="G14" s="189">
        <v>158.54500000000002</v>
      </c>
      <c r="H14" s="189">
        <v>182.655</v>
      </c>
      <c r="I14" s="189">
        <v>173.29999999999998</v>
      </c>
      <c r="J14" s="189">
        <v>197.37</v>
      </c>
      <c r="K14" s="189">
        <v>178.93750000000003</v>
      </c>
      <c r="L14" s="188">
        <v>133.73191666666665</v>
      </c>
      <c r="M14" s="189"/>
      <c r="N14" s="189"/>
    </row>
    <row r="15" spans="1:14" x14ac:dyDescent="0.25">
      <c r="A15" s="187">
        <v>2004</v>
      </c>
      <c r="B15" s="189">
        <v>188.4325</v>
      </c>
      <c r="C15" s="189">
        <v>205.745</v>
      </c>
      <c r="D15" s="189">
        <v>183.78250000000003</v>
      </c>
      <c r="E15" s="189">
        <v>188.58249999999998</v>
      </c>
      <c r="F15" s="189">
        <v>166.8725</v>
      </c>
      <c r="G15" s="189">
        <v>164.8775</v>
      </c>
      <c r="H15" s="189">
        <v>192.78</v>
      </c>
      <c r="I15" s="189">
        <v>181.07500000000002</v>
      </c>
      <c r="J15" s="189">
        <v>218.7</v>
      </c>
      <c r="K15" s="189">
        <v>215.14499999999998</v>
      </c>
      <c r="L15" s="188">
        <v>150.44008333333332</v>
      </c>
      <c r="M15" s="189"/>
      <c r="N15" s="189"/>
    </row>
    <row r="16" spans="1:14" x14ac:dyDescent="0.25">
      <c r="A16" s="187">
        <v>2005</v>
      </c>
      <c r="B16" s="189">
        <v>208.15499999999997</v>
      </c>
      <c r="C16" s="189">
        <v>223.48</v>
      </c>
      <c r="D16" s="189">
        <v>203.94</v>
      </c>
      <c r="E16" s="189">
        <v>216.26000000000002</v>
      </c>
      <c r="F16" s="189">
        <v>177.50749999999999</v>
      </c>
      <c r="G16" s="189">
        <v>174.0675</v>
      </c>
      <c r="H16" s="189">
        <v>202.4725</v>
      </c>
      <c r="I16" s="189">
        <v>187.845</v>
      </c>
      <c r="J16" s="189">
        <v>254.52999999999997</v>
      </c>
      <c r="K16" s="189">
        <v>259.29250000000002</v>
      </c>
      <c r="L16" s="188">
        <v>171.73866666666666</v>
      </c>
      <c r="M16" s="189"/>
      <c r="N16" s="189"/>
    </row>
    <row r="17" spans="1:14" x14ac:dyDescent="0.25">
      <c r="A17" s="187">
        <v>2006</v>
      </c>
      <c r="B17" s="189">
        <v>220.255</v>
      </c>
      <c r="C17" s="189">
        <v>224.7825</v>
      </c>
      <c r="D17" s="189">
        <v>215.36249999999998</v>
      </c>
      <c r="E17" s="189">
        <v>234.6875</v>
      </c>
      <c r="F17" s="189">
        <v>190.07500000000002</v>
      </c>
      <c r="G17" s="189">
        <v>185.83</v>
      </c>
      <c r="H17" s="189">
        <v>209.26249999999999</v>
      </c>
      <c r="I17" s="189">
        <v>190.4</v>
      </c>
      <c r="J17" s="189">
        <v>282.44500000000005</v>
      </c>
      <c r="K17" s="189">
        <v>277.35500000000002</v>
      </c>
      <c r="L17" s="188">
        <v>183.44691666666665</v>
      </c>
      <c r="M17" s="189"/>
      <c r="N17" s="189"/>
    </row>
    <row r="18" spans="1:14" x14ac:dyDescent="0.25">
      <c r="A18" s="187">
        <v>2007</v>
      </c>
      <c r="B18" s="189">
        <v>220.01249999999999</v>
      </c>
      <c r="C18" s="189">
        <v>219.95749999999998</v>
      </c>
      <c r="D18" s="189">
        <v>216.78500000000003</v>
      </c>
      <c r="E18" s="189">
        <v>234.82</v>
      </c>
      <c r="F18" s="189">
        <v>196.82500000000002</v>
      </c>
      <c r="G18" s="189">
        <v>194.48499999999999</v>
      </c>
      <c r="H18" s="189">
        <v>210.80500000000001</v>
      </c>
      <c r="I18" s="189">
        <v>186.89249999999998</v>
      </c>
      <c r="J18" s="189">
        <v>285.37</v>
      </c>
      <c r="K18" s="189">
        <v>263.63</v>
      </c>
      <c r="L18" s="188">
        <v>179.91783333333333</v>
      </c>
      <c r="M18" s="189"/>
      <c r="N18" s="189"/>
    </row>
    <row r="19" spans="1:14" x14ac:dyDescent="0.25">
      <c r="A19" s="187">
        <v>2008</v>
      </c>
      <c r="B19" s="189">
        <v>201.98499999999999</v>
      </c>
      <c r="C19" s="189">
        <v>207.36500000000001</v>
      </c>
      <c r="D19" s="189">
        <v>208.95750000000001</v>
      </c>
      <c r="E19" s="189">
        <v>209.31</v>
      </c>
      <c r="F19" s="189">
        <v>192.42500000000001</v>
      </c>
      <c r="G19" s="189">
        <v>193.935</v>
      </c>
      <c r="H19" s="189">
        <v>202.50749999999999</v>
      </c>
      <c r="I19" s="189">
        <v>174.07749999999999</v>
      </c>
      <c r="J19" s="189">
        <v>255.53749999999999</v>
      </c>
      <c r="K19" s="189">
        <v>210.08499999999998</v>
      </c>
      <c r="L19" s="188">
        <v>164.05475000000001</v>
      </c>
      <c r="M19" s="189"/>
      <c r="N19" s="189"/>
    </row>
    <row r="20" spans="1:14" x14ac:dyDescent="0.25">
      <c r="A20" s="187">
        <v>2009</v>
      </c>
      <c r="B20" s="189">
        <v>189.86</v>
      </c>
      <c r="C20" s="189">
        <v>199.905</v>
      </c>
      <c r="D20" s="189">
        <v>200.61</v>
      </c>
      <c r="E20" s="189">
        <v>191.29499999999999</v>
      </c>
      <c r="F20" s="189">
        <v>186.9675</v>
      </c>
      <c r="G20" s="189">
        <v>192.75749999999999</v>
      </c>
      <c r="H20" s="189">
        <v>198.15</v>
      </c>
      <c r="I20" s="189">
        <v>166.245</v>
      </c>
      <c r="J20" s="189">
        <v>226.17000000000002</v>
      </c>
      <c r="K20" s="189">
        <v>185.17750000000001</v>
      </c>
      <c r="L20" s="188">
        <v>148.54341666666667</v>
      </c>
      <c r="M20" s="189"/>
      <c r="N20" s="189"/>
    </row>
    <row r="21" spans="1:14" x14ac:dyDescent="0.25">
      <c r="A21" s="187">
        <v>2010</v>
      </c>
      <c r="B21" s="189">
        <v>184.2525</v>
      </c>
      <c r="C21" s="189">
        <v>194.86</v>
      </c>
      <c r="D21" s="189">
        <v>197.85000000000002</v>
      </c>
      <c r="E21" s="189">
        <v>182.08000000000004</v>
      </c>
      <c r="F21" s="189">
        <v>181.32999999999998</v>
      </c>
      <c r="G21" s="189">
        <v>191.71249999999998</v>
      </c>
      <c r="H21" s="189">
        <v>193.875</v>
      </c>
      <c r="I21" s="189">
        <v>160.94499999999999</v>
      </c>
      <c r="J21" s="189">
        <v>211.4425</v>
      </c>
      <c r="K21" s="189">
        <v>181.60249999999999</v>
      </c>
      <c r="L21" s="188">
        <v>144.66833333333332</v>
      </c>
      <c r="M21" s="189"/>
      <c r="N21" s="189"/>
    </row>
    <row r="22" spans="1:14" x14ac:dyDescent="0.25">
      <c r="A22" s="187">
        <v>2011</v>
      </c>
      <c r="B22" s="189">
        <v>176.2825</v>
      </c>
      <c r="C22" s="189">
        <v>189.3</v>
      </c>
      <c r="D22" s="189">
        <v>191.11750000000001</v>
      </c>
      <c r="E22" s="189">
        <v>172.46</v>
      </c>
      <c r="F22" s="189">
        <v>176.125</v>
      </c>
      <c r="G22" s="189">
        <v>188.905</v>
      </c>
      <c r="H22" s="189">
        <v>187.2</v>
      </c>
      <c r="I22" s="189">
        <v>154.65</v>
      </c>
      <c r="J22" s="189">
        <v>196.61250000000001</v>
      </c>
      <c r="K22" s="189">
        <v>169.0975</v>
      </c>
      <c r="L22" s="188">
        <v>139.25049999999999</v>
      </c>
      <c r="M22" s="189"/>
      <c r="N22" s="189"/>
    </row>
    <row r="23" spans="1:14" x14ac:dyDescent="0.25">
      <c r="A23" s="187">
        <v>2012</v>
      </c>
      <c r="B23" s="189">
        <v>181.0275</v>
      </c>
      <c r="C23" s="189">
        <v>188.03249999999997</v>
      </c>
      <c r="D23" s="189">
        <v>190.005</v>
      </c>
      <c r="E23" s="189">
        <v>177.85750000000002</v>
      </c>
      <c r="F23" s="189">
        <v>178.8725</v>
      </c>
      <c r="G23" s="189">
        <v>195.495</v>
      </c>
      <c r="H23" s="189">
        <v>192.285</v>
      </c>
      <c r="I23" s="189">
        <v>157.08500000000001</v>
      </c>
      <c r="J23" s="189">
        <v>211.24</v>
      </c>
      <c r="K23" s="189">
        <v>176.40250000000003</v>
      </c>
      <c r="L23" s="188">
        <v>140.98291666666665</v>
      </c>
      <c r="M23" s="189"/>
      <c r="N23" s="189"/>
    </row>
    <row r="24" spans="1:14" x14ac:dyDescent="0.25">
      <c r="A24" s="187">
        <v>2013</v>
      </c>
      <c r="B24" s="189">
        <v>193.48749999999998</v>
      </c>
      <c r="C24" s="189">
        <v>194.005</v>
      </c>
      <c r="D24" s="189">
        <v>194.38250000000002</v>
      </c>
      <c r="E24" s="189">
        <v>190.57250000000002</v>
      </c>
      <c r="F24" s="189">
        <v>184.93249999999998</v>
      </c>
      <c r="G24" s="189">
        <v>206.26000000000002</v>
      </c>
      <c r="H24" s="189">
        <v>200.65499999999997</v>
      </c>
      <c r="I24" s="189">
        <v>164.91</v>
      </c>
      <c r="J24" s="189">
        <v>235.95499999999998</v>
      </c>
      <c r="K24" s="189">
        <v>203.82249999999999</v>
      </c>
      <c r="L24" s="188">
        <v>154.51133333333334</v>
      </c>
      <c r="M24" s="189"/>
      <c r="N24" s="189"/>
    </row>
    <row r="25" spans="1:14" x14ac:dyDescent="0.25">
      <c r="A25" s="187">
        <v>2014</v>
      </c>
      <c r="B25" s="189">
        <v>202.79499999999999</v>
      </c>
      <c r="C25" s="189">
        <v>198.8775</v>
      </c>
      <c r="D25" s="189">
        <v>197.53</v>
      </c>
      <c r="E25" s="189">
        <v>200.035</v>
      </c>
      <c r="F25" s="189">
        <v>189.79999999999998</v>
      </c>
      <c r="G25" s="189">
        <v>217.2825</v>
      </c>
      <c r="H25" s="189">
        <v>208.08749999999998</v>
      </c>
      <c r="I25" s="189">
        <v>171.57999999999998</v>
      </c>
      <c r="J25" s="189">
        <v>251.71750000000003</v>
      </c>
      <c r="K25" s="189">
        <v>221.935</v>
      </c>
      <c r="L25" s="188">
        <v>164.68466666666666</v>
      </c>
      <c r="M25" s="189"/>
      <c r="N25" s="189"/>
    </row>
    <row r="26" spans="1:14" x14ac:dyDescent="0.25">
      <c r="A26" s="187">
        <v>2015</v>
      </c>
      <c r="B26" s="189">
        <v>213.17</v>
      </c>
      <c r="C26" s="189">
        <v>205.14749999999998</v>
      </c>
      <c r="D26" s="189">
        <v>202.215</v>
      </c>
      <c r="E26" s="189">
        <v>211.81</v>
      </c>
      <c r="F26" s="189">
        <v>197.65</v>
      </c>
      <c r="G26" s="189">
        <v>229.7225</v>
      </c>
      <c r="H26" s="189">
        <v>216.13749999999999</v>
      </c>
      <c r="I26" s="189">
        <v>178.46</v>
      </c>
      <c r="J26" s="189">
        <v>270.20499999999998</v>
      </c>
      <c r="K26" s="189">
        <v>238.57249999999999</v>
      </c>
      <c r="L26" s="188">
        <v>172.15966666666665</v>
      </c>
    </row>
    <row r="27" spans="1:14" x14ac:dyDescent="0.25">
      <c r="A27" s="187">
        <v>2016</v>
      </c>
      <c r="B27" s="189">
        <v>225.01000000000002</v>
      </c>
      <c r="C27" s="189">
        <v>212.435</v>
      </c>
      <c r="D27" s="189">
        <v>208.8</v>
      </c>
      <c r="E27" s="189">
        <v>225.1225</v>
      </c>
      <c r="F27" s="189">
        <v>206.89250000000001</v>
      </c>
      <c r="G27" s="189">
        <v>241.97500000000002</v>
      </c>
      <c r="H27" s="189">
        <v>226.88500000000002</v>
      </c>
      <c r="I27" s="189">
        <v>186.95749999999998</v>
      </c>
      <c r="J27" s="189">
        <v>290.44500000000005</v>
      </c>
      <c r="K27" s="189">
        <v>256.99</v>
      </c>
      <c r="L27" s="188">
        <v>180.90249999999997</v>
      </c>
    </row>
    <row r="28" spans="1:14" x14ac:dyDescent="0.25">
      <c r="A28" s="187">
        <v>2017</v>
      </c>
      <c r="B28" s="189">
        <v>238.73250000000002</v>
      </c>
      <c r="C28" s="189">
        <v>223.70750000000001</v>
      </c>
      <c r="D28" s="189">
        <v>217.97</v>
      </c>
      <c r="E28" s="189">
        <v>239.1275</v>
      </c>
      <c r="F28" s="189">
        <v>218.02500000000001</v>
      </c>
      <c r="G28" s="189">
        <v>255.89999999999998</v>
      </c>
      <c r="H28" s="189">
        <v>238.405</v>
      </c>
      <c r="I28" s="189">
        <v>197.495</v>
      </c>
      <c r="J28" s="189">
        <v>313.99250000000001</v>
      </c>
      <c r="K28" s="189">
        <v>277.91499999999996</v>
      </c>
      <c r="L28" s="188">
        <v>191.36599999999999</v>
      </c>
    </row>
    <row r="29" spans="1:14" x14ac:dyDescent="0.25">
      <c r="A29" s="187">
        <v>2018</v>
      </c>
      <c r="B29" s="189">
        <v>253.19750000000002</v>
      </c>
      <c r="C29" s="189">
        <v>234.60750000000002</v>
      </c>
      <c r="D29" s="189">
        <v>228.745</v>
      </c>
      <c r="E29" s="189">
        <v>254.65750000000003</v>
      </c>
      <c r="F29" s="189">
        <v>230.22</v>
      </c>
      <c r="G29" s="189">
        <v>268.39999999999998</v>
      </c>
      <c r="H29" s="189">
        <v>251.655</v>
      </c>
      <c r="I29" s="189">
        <v>209.16000000000003</v>
      </c>
      <c r="J29" s="189">
        <v>341.45499999999998</v>
      </c>
      <c r="K29" s="189">
        <v>297.14499999999998</v>
      </c>
      <c r="L29" s="188">
        <v>202.43900000000002</v>
      </c>
    </row>
    <row r="30" spans="1:14" x14ac:dyDescent="0.25">
      <c r="A30" s="187">
        <v>2019</v>
      </c>
      <c r="B30" s="189">
        <v>265.85250000000002</v>
      </c>
      <c r="C30" s="189">
        <v>245.26</v>
      </c>
      <c r="D30" s="189">
        <v>238.15</v>
      </c>
      <c r="E30" s="189">
        <v>268.42500000000001</v>
      </c>
      <c r="F30" s="189">
        <v>243.01749999999998</v>
      </c>
      <c r="G30" s="189">
        <v>279.91749999999996</v>
      </c>
      <c r="H30" s="189">
        <v>263.66750000000002</v>
      </c>
      <c r="I30" s="189">
        <v>220.09499999999997</v>
      </c>
      <c r="J30" s="189">
        <v>364.94</v>
      </c>
      <c r="K30" s="189">
        <v>310.13499999999999</v>
      </c>
      <c r="L30" s="188">
        <v>209.41716666666665</v>
      </c>
    </row>
    <row r="31" spans="1:14" x14ac:dyDescent="0.25">
      <c r="A31" s="187">
        <v>2020</v>
      </c>
      <c r="B31" s="189">
        <v>286.62</v>
      </c>
      <c r="C31" s="189">
        <v>264.95249999999999</v>
      </c>
      <c r="D31" s="189">
        <v>256.05</v>
      </c>
      <c r="E31" s="189">
        <v>290.22749999999996</v>
      </c>
      <c r="F31" s="189">
        <v>262.85250000000002</v>
      </c>
      <c r="G31" s="189">
        <v>297.5625</v>
      </c>
      <c r="H31" s="189">
        <v>282.47500000000002</v>
      </c>
      <c r="I31" s="189">
        <v>237.035</v>
      </c>
      <c r="J31" s="189">
        <v>401.04250000000002</v>
      </c>
      <c r="K31" s="189">
        <v>335.17</v>
      </c>
      <c r="L31" s="188">
        <v>222.09158333333332</v>
      </c>
    </row>
    <row r="32" spans="1:14" x14ac:dyDescent="0.25">
      <c r="A32" s="187">
        <v>2021</v>
      </c>
      <c r="B32" s="189">
        <v>333.9975</v>
      </c>
      <c r="C32" s="189">
        <v>311.245</v>
      </c>
      <c r="D32" s="189">
        <v>293.73750000000001</v>
      </c>
      <c r="E32" s="189">
        <v>341.95249999999999</v>
      </c>
      <c r="F32" s="189">
        <v>305.70500000000004</v>
      </c>
      <c r="G32" s="189">
        <v>343.4375</v>
      </c>
      <c r="H32" s="189">
        <v>320.78500000000003</v>
      </c>
      <c r="I32" s="189">
        <v>270.63749999999999</v>
      </c>
      <c r="J32" s="189">
        <v>487.78750000000002</v>
      </c>
      <c r="K32" s="189">
        <v>396.89749999999998</v>
      </c>
      <c r="L32" s="188">
        <v>259.96583333333336</v>
      </c>
    </row>
    <row r="33" spans="1:12" x14ac:dyDescent="0.25">
      <c r="A33" s="187">
        <v>2022</v>
      </c>
      <c r="B33" s="189">
        <v>378.53499999999997</v>
      </c>
      <c r="C33" s="189">
        <v>349.01750000000004</v>
      </c>
      <c r="D33" s="189">
        <v>327.03000000000003</v>
      </c>
      <c r="E33" s="189">
        <v>401.82000000000005</v>
      </c>
      <c r="F33" s="189">
        <v>351.37749999999994</v>
      </c>
      <c r="G33" s="189">
        <v>391.67500000000001</v>
      </c>
      <c r="H33" s="189">
        <v>355.78749999999997</v>
      </c>
      <c r="I33" s="189">
        <v>301.47750000000002</v>
      </c>
      <c r="J33" s="189">
        <v>558.29499999999996</v>
      </c>
      <c r="K33" s="189">
        <v>439.24</v>
      </c>
      <c r="L33" s="188">
        <v>298.31283333333334</v>
      </c>
    </row>
    <row r="34" spans="1:12" x14ac:dyDescent="0.25">
      <c r="A34" s="187">
        <v>2023</v>
      </c>
      <c r="B34" s="189">
        <v>396.13499999999999</v>
      </c>
      <c r="C34" s="189">
        <v>375.07499999999999</v>
      </c>
      <c r="D34" s="189">
        <v>349.04750000000001</v>
      </c>
      <c r="E34" s="189">
        <v>425.89500000000004</v>
      </c>
      <c r="F34" s="189">
        <v>371.23</v>
      </c>
      <c r="G34" s="189">
        <v>404.50249999999994</v>
      </c>
      <c r="H34" s="189">
        <v>375.02500000000003</v>
      </c>
      <c r="I34" s="189">
        <v>321.83249999999998</v>
      </c>
      <c r="J34" s="189">
        <v>563.12249999999995</v>
      </c>
      <c r="K34" s="189">
        <v>441.38</v>
      </c>
      <c r="L34" s="188">
        <v>305.78550000000001</v>
      </c>
    </row>
    <row r="35" spans="1:12" x14ac:dyDescent="0.25">
      <c r="A35" s="187">
        <v>2024</v>
      </c>
      <c r="B35" s="189">
        <v>417.33249999999998</v>
      </c>
      <c r="C35" s="189">
        <v>403.94499999999999</v>
      </c>
      <c r="D35" s="189">
        <v>377.28999999999996</v>
      </c>
      <c r="E35" s="189">
        <v>447.69499999999999</v>
      </c>
      <c r="F35" s="189">
        <v>389.32749999999999</v>
      </c>
      <c r="G35" s="189">
        <v>415.30500000000001</v>
      </c>
      <c r="H35" s="189">
        <v>395.80250000000001</v>
      </c>
      <c r="I35" s="189">
        <v>345.69000000000005</v>
      </c>
      <c r="J35" s="189">
        <v>587.39499999999998</v>
      </c>
      <c r="K35" s="189">
        <v>458.73500000000001</v>
      </c>
      <c r="L35" s="188">
        <v>321.40083333333331</v>
      </c>
    </row>
    <row r="36" spans="1:12" x14ac:dyDescent="0.25">
      <c r="A36" s="187">
        <v>2025</v>
      </c>
      <c r="B36" s="189">
        <v>429.39499999999998</v>
      </c>
      <c r="C36" s="189">
        <v>423.77</v>
      </c>
      <c r="D36" s="189">
        <v>400.19749999999999</v>
      </c>
      <c r="E36" s="189">
        <v>454.54750000000001</v>
      </c>
      <c r="F36" s="189">
        <v>402.12</v>
      </c>
      <c r="G36" s="189">
        <v>420.45499999999998</v>
      </c>
      <c r="H36" s="189">
        <v>411.25749999999999</v>
      </c>
      <c r="I36" s="189">
        <v>364.96499999999997</v>
      </c>
      <c r="J36" s="189">
        <v>594.99250000000006</v>
      </c>
      <c r="K36" s="189">
        <v>461.83</v>
      </c>
      <c r="L36">
        <v>328.65741666666668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71"/>
  <sheetViews>
    <sheetView zoomScale="130" zoomScaleNormal="130" workbookViewId="0">
      <selection activeCell="J15" sqref="J15"/>
    </sheetView>
  </sheetViews>
  <sheetFormatPr defaultColWidth="9.28515625" defaultRowHeight="12.75" x14ac:dyDescent="0.25"/>
  <cols>
    <col min="1" max="1" width="13.140625" style="109" customWidth="1"/>
    <col min="2" max="2" width="14" style="88" customWidth="1"/>
    <col min="3" max="7" width="11.42578125" style="109" customWidth="1"/>
    <col min="8" max="16384" width="9.28515625" style="109"/>
  </cols>
  <sheetData>
    <row r="1" spans="1:16" s="107" customFormat="1" x14ac:dyDescent="0.2">
      <c r="A1" s="107" t="s">
        <v>6</v>
      </c>
      <c r="B1" s="86" t="s">
        <v>48</v>
      </c>
      <c r="C1" s="87" t="s">
        <v>43</v>
      </c>
      <c r="D1" s="87" t="s">
        <v>44</v>
      </c>
      <c r="E1" s="87" t="s">
        <v>45</v>
      </c>
      <c r="F1" s="87" t="s">
        <v>46</v>
      </c>
      <c r="G1" s="87" t="s">
        <v>47</v>
      </c>
      <c r="H1" s="87"/>
      <c r="I1" s="87"/>
      <c r="J1" s="84"/>
      <c r="K1" s="86"/>
      <c r="L1" s="87"/>
      <c r="M1" s="87"/>
      <c r="N1" s="87"/>
      <c r="O1" s="87"/>
      <c r="P1" s="87"/>
    </row>
    <row r="2" spans="1:16" x14ac:dyDescent="0.25">
      <c r="A2" s="108">
        <v>45717</v>
      </c>
      <c r="B2" s="97">
        <v>407300</v>
      </c>
      <c r="C2" s="146">
        <v>6.73</v>
      </c>
      <c r="D2" s="110">
        <v>104705</v>
      </c>
      <c r="E2" s="110">
        <v>101232</v>
      </c>
      <c r="G2" s="109">
        <v>103.4</v>
      </c>
    </row>
    <row r="3" spans="1:16" x14ac:dyDescent="0.25">
      <c r="A3" s="108">
        <v>45748</v>
      </c>
      <c r="B3" s="97">
        <v>418000</v>
      </c>
      <c r="C3" s="109">
        <v>6.81</v>
      </c>
      <c r="D3" s="110">
        <v>105791</v>
      </c>
      <c r="E3" s="110">
        <v>104736</v>
      </c>
      <c r="G3" s="146">
        <v>101</v>
      </c>
    </row>
    <row r="4" spans="1:16" x14ac:dyDescent="0.25">
      <c r="A4" s="108">
        <v>45778</v>
      </c>
      <c r="B4" s="97">
        <v>428800</v>
      </c>
      <c r="C4" s="109">
        <v>6.9</v>
      </c>
      <c r="D4" s="110">
        <v>105204</v>
      </c>
      <c r="E4" s="110">
        <v>108432</v>
      </c>
      <c r="G4" s="109">
        <v>97</v>
      </c>
    </row>
    <row r="5" spans="1:16" x14ac:dyDescent="0.25">
      <c r="A5" s="108">
        <v>45809</v>
      </c>
      <c r="B5" s="97">
        <v>438600</v>
      </c>
      <c r="C5" s="109">
        <v>6.9</v>
      </c>
      <c r="D5" s="110">
        <v>105431</v>
      </c>
      <c r="E5" s="109">
        <v>110928</v>
      </c>
      <c r="G5" s="109">
        <v>95</v>
      </c>
    </row>
    <row r="6" spans="1:16" x14ac:dyDescent="0.25">
      <c r="A6" s="108">
        <v>45839</v>
      </c>
      <c r="B6" s="97">
        <v>432000</v>
      </c>
      <c r="C6" s="109">
        <v>6.8</v>
      </c>
      <c r="D6" s="110">
        <v>105986</v>
      </c>
      <c r="E6" s="109">
        <v>108144</v>
      </c>
      <c r="G6" s="109">
        <v>98</v>
      </c>
    </row>
    <row r="7" spans="1:16" x14ac:dyDescent="0.25">
      <c r="A7" s="108">
        <v>45870</v>
      </c>
      <c r="B7" s="97">
        <v>427700</v>
      </c>
      <c r="C7" s="109">
        <v>6.67</v>
      </c>
      <c r="D7" s="110">
        <v>106736</v>
      </c>
      <c r="E7" s="109">
        <v>105648</v>
      </c>
      <c r="G7" s="109">
        <v>101</v>
      </c>
    </row>
    <row r="8" spans="1:16" x14ac:dyDescent="0.25">
      <c r="A8" s="108">
        <v>45901</v>
      </c>
      <c r="B8" s="97">
        <v>417600</v>
      </c>
      <c r="C8" s="109">
        <v>6.43</v>
      </c>
      <c r="D8" s="110">
        <v>107129</v>
      </c>
      <c r="E8" s="109">
        <v>100608</v>
      </c>
      <c r="G8" s="109">
        <v>106.5</v>
      </c>
    </row>
    <row r="9" spans="1:16" x14ac:dyDescent="0.25">
      <c r="A9" s="108">
        <v>45931</v>
      </c>
      <c r="B9" s="97">
        <v>420200</v>
      </c>
      <c r="C9" s="109">
        <v>6.33</v>
      </c>
      <c r="D9" s="110">
        <v>107260</v>
      </c>
      <c r="E9" s="109">
        <v>100176</v>
      </c>
      <c r="G9" s="109">
        <v>107.1</v>
      </c>
    </row>
    <row r="10" spans="1:16" x14ac:dyDescent="0.25">
      <c r="A10" s="108">
        <v>45962</v>
      </c>
      <c r="B10" s="97">
        <v>415100</v>
      </c>
      <c r="C10" s="109">
        <v>6.32</v>
      </c>
      <c r="D10" s="110">
        <v>107601</v>
      </c>
      <c r="E10" s="109">
        <v>98880</v>
      </c>
      <c r="G10" s="109">
        <v>108.8</v>
      </c>
    </row>
    <row r="11" spans="1:16" x14ac:dyDescent="0.25">
      <c r="A11" s="108">
        <v>45992</v>
      </c>
      <c r="B11" s="97">
        <v>409500</v>
      </c>
      <c r="C11" s="109">
        <v>6.28</v>
      </c>
      <c r="D11" s="110">
        <v>108391</v>
      </c>
      <c r="E11" s="109">
        <v>97104</v>
      </c>
      <c r="G11" s="109">
        <v>111.6</v>
      </c>
    </row>
    <row r="12" spans="1:16" x14ac:dyDescent="0.25">
      <c r="A12" s="108">
        <v>46023</v>
      </c>
      <c r="B12" s="97">
        <v>398200</v>
      </c>
      <c r="C12" s="109">
        <v>6.19</v>
      </c>
      <c r="D12" s="110">
        <v>109523</v>
      </c>
      <c r="E12" s="109">
        <v>93552</v>
      </c>
      <c r="G12" s="109">
        <v>117.1</v>
      </c>
    </row>
    <row r="13" spans="1:16" x14ac:dyDescent="0.25">
      <c r="A13" s="108">
        <v>46054</v>
      </c>
      <c r="B13" s="97">
        <v>402300</v>
      </c>
      <c r="C13" s="109">
        <v>6.12</v>
      </c>
      <c r="D13" s="110">
        <v>110170</v>
      </c>
      <c r="E13" s="109">
        <v>93792</v>
      </c>
      <c r="G13" s="109">
        <v>117.5</v>
      </c>
    </row>
    <row r="14" spans="1:16" x14ac:dyDescent="0.25">
      <c r="A14" s="108">
        <v>46082</v>
      </c>
      <c r="B14" s="97">
        <v>413300</v>
      </c>
      <c r="C14" s="194">
        <v>6.26</v>
      </c>
      <c r="D14" s="110">
        <v>111002</v>
      </c>
      <c r="E14" s="110">
        <v>97824</v>
      </c>
      <c r="G14" s="109">
        <v>113.5</v>
      </c>
    </row>
    <row r="15" spans="1:16" x14ac:dyDescent="0.25">
      <c r="A15" s="108">
        <v>46113</v>
      </c>
      <c r="B15" s="97">
        <v>421900</v>
      </c>
      <c r="C15" s="109">
        <v>6.41</v>
      </c>
      <c r="D15" s="110">
        <v>109547</v>
      </c>
      <c r="E15" s="109">
        <v>101424</v>
      </c>
      <c r="G15" s="109">
        <v>108</v>
      </c>
    </row>
    <row r="16" spans="1:16" x14ac:dyDescent="0.25">
      <c r="A16" s="108">
        <v>46143</v>
      </c>
      <c r="B16" s="97">
        <v>436400</v>
      </c>
      <c r="C16" s="109">
        <v>6.52</v>
      </c>
      <c r="D16" s="110">
        <v>111513</v>
      </c>
      <c r="E16" s="109">
        <v>106128</v>
      </c>
      <c r="G16" s="109">
        <v>105.1</v>
      </c>
    </row>
    <row r="17" spans="2:4" x14ac:dyDescent="0.25">
      <c r="B17" s="97"/>
      <c r="D17" s="110"/>
    </row>
    <row r="18" spans="2:4" x14ac:dyDescent="0.25">
      <c r="B18" s="97"/>
      <c r="D18" s="110"/>
    </row>
    <row r="19" spans="2:4" x14ac:dyDescent="0.25">
      <c r="B19" s="97"/>
      <c r="D19" s="110"/>
    </row>
    <row r="20" spans="2:4" x14ac:dyDescent="0.25">
      <c r="B20" s="97"/>
      <c r="D20" s="110"/>
    </row>
    <row r="21" spans="2:4" x14ac:dyDescent="0.25">
      <c r="B21" s="97"/>
      <c r="D21" s="110"/>
    </row>
    <row r="22" spans="2:4" x14ac:dyDescent="0.25">
      <c r="B22" s="97"/>
      <c r="D22" s="110"/>
    </row>
    <row r="23" spans="2:4" x14ac:dyDescent="0.25">
      <c r="B23" s="97"/>
      <c r="D23" s="110"/>
    </row>
    <row r="24" spans="2:4" x14ac:dyDescent="0.25">
      <c r="B24" s="97"/>
      <c r="D24" s="110"/>
    </row>
    <row r="25" spans="2:4" x14ac:dyDescent="0.25">
      <c r="B25" s="97"/>
      <c r="D25" s="110"/>
    </row>
    <row r="26" spans="2:4" x14ac:dyDescent="0.25">
      <c r="B26" s="97"/>
      <c r="D26" s="110"/>
    </row>
    <row r="27" spans="2:4" x14ac:dyDescent="0.25">
      <c r="B27" s="97"/>
      <c r="D27" s="110"/>
    </row>
    <row r="28" spans="2:4" x14ac:dyDescent="0.25">
      <c r="B28" s="97"/>
      <c r="D28" s="110"/>
    </row>
    <row r="29" spans="2:4" x14ac:dyDescent="0.25">
      <c r="B29" s="97"/>
      <c r="D29" s="110"/>
    </row>
    <row r="30" spans="2:4" x14ac:dyDescent="0.25">
      <c r="B30" s="97"/>
      <c r="D30" s="110"/>
    </row>
    <row r="31" spans="2:4" x14ac:dyDescent="0.25">
      <c r="D31" s="110"/>
    </row>
    <row r="32" spans="2:4" x14ac:dyDescent="0.25">
      <c r="D32" s="110"/>
    </row>
    <row r="33" spans="4:4" x14ac:dyDescent="0.25">
      <c r="D33" s="110"/>
    </row>
    <row r="34" spans="4:4" x14ac:dyDescent="0.25">
      <c r="D34" s="110"/>
    </row>
    <row r="35" spans="4:4" x14ac:dyDescent="0.25">
      <c r="D35" s="110"/>
    </row>
    <row r="36" spans="4:4" x14ac:dyDescent="0.25">
      <c r="D36" s="110"/>
    </row>
    <row r="37" spans="4:4" x14ac:dyDescent="0.25">
      <c r="D37" s="110"/>
    </row>
    <row r="38" spans="4:4" x14ac:dyDescent="0.25">
      <c r="D38" s="110"/>
    </row>
    <row r="39" spans="4:4" x14ac:dyDescent="0.25">
      <c r="D39" s="110"/>
    </row>
    <row r="40" spans="4:4" x14ac:dyDescent="0.25">
      <c r="D40" s="110"/>
    </row>
    <row r="41" spans="4:4" x14ac:dyDescent="0.25">
      <c r="D41" s="110"/>
    </row>
    <row r="42" spans="4:4" x14ac:dyDescent="0.25">
      <c r="D42" s="110"/>
    </row>
    <row r="43" spans="4:4" x14ac:dyDescent="0.25">
      <c r="D43" s="110"/>
    </row>
    <row r="44" spans="4:4" x14ac:dyDescent="0.25">
      <c r="D44" s="110"/>
    </row>
    <row r="45" spans="4:4" x14ac:dyDescent="0.25">
      <c r="D45" s="110"/>
    </row>
    <row r="46" spans="4:4" x14ac:dyDescent="0.25">
      <c r="D46" s="110"/>
    </row>
    <row r="47" spans="4:4" x14ac:dyDescent="0.25">
      <c r="D47" s="110"/>
    </row>
    <row r="48" spans="4:4" x14ac:dyDescent="0.25">
      <c r="D48" s="110"/>
    </row>
    <row r="49" spans="4:4" x14ac:dyDescent="0.25">
      <c r="D49" s="110"/>
    </row>
    <row r="50" spans="4:4" x14ac:dyDescent="0.25">
      <c r="D50" s="110"/>
    </row>
    <row r="51" spans="4:4" x14ac:dyDescent="0.25">
      <c r="D51" s="110"/>
    </row>
    <row r="52" spans="4:4" x14ac:dyDescent="0.25">
      <c r="D52" s="110"/>
    </row>
    <row r="53" spans="4:4" x14ac:dyDescent="0.25">
      <c r="D53" s="110"/>
    </row>
    <row r="54" spans="4:4" x14ac:dyDescent="0.25">
      <c r="D54" s="110"/>
    </row>
    <row r="55" spans="4:4" x14ac:dyDescent="0.25">
      <c r="D55" s="110"/>
    </row>
    <row r="56" spans="4:4" x14ac:dyDescent="0.25">
      <c r="D56" s="110"/>
    </row>
    <row r="57" spans="4:4" x14ac:dyDescent="0.25">
      <c r="D57" s="110"/>
    </row>
    <row r="58" spans="4:4" x14ac:dyDescent="0.25">
      <c r="D58" s="110"/>
    </row>
    <row r="59" spans="4:4" x14ac:dyDescent="0.25">
      <c r="D59" s="110"/>
    </row>
    <row r="60" spans="4:4" x14ac:dyDescent="0.25">
      <c r="D60" s="110"/>
    </row>
    <row r="61" spans="4:4" x14ac:dyDescent="0.25">
      <c r="D61" s="110"/>
    </row>
    <row r="62" spans="4:4" x14ac:dyDescent="0.25">
      <c r="D62" s="110"/>
    </row>
    <row r="63" spans="4:4" x14ac:dyDescent="0.25">
      <c r="D63" s="110"/>
    </row>
    <row r="64" spans="4:4" x14ac:dyDescent="0.25">
      <c r="D64" s="110"/>
    </row>
    <row r="65" spans="4:4" x14ac:dyDescent="0.25">
      <c r="D65" s="110"/>
    </row>
    <row r="66" spans="4:4" x14ac:dyDescent="0.25">
      <c r="D66" s="110"/>
    </row>
    <row r="67" spans="4:4" x14ac:dyDescent="0.25">
      <c r="D67" s="110"/>
    </row>
    <row r="68" spans="4:4" x14ac:dyDescent="0.25">
      <c r="D68" s="110"/>
    </row>
    <row r="69" spans="4:4" x14ac:dyDescent="0.25">
      <c r="D69" s="110"/>
    </row>
    <row r="70" spans="4:4" x14ac:dyDescent="0.25">
      <c r="D70" s="110"/>
    </row>
    <row r="71" spans="4:4" x14ac:dyDescent="0.25">
      <c r="D71" s="110"/>
    </row>
    <row r="72" spans="4:4" x14ac:dyDescent="0.25">
      <c r="D72" s="110"/>
    </row>
    <row r="73" spans="4:4" x14ac:dyDescent="0.25">
      <c r="D73" s="110"/>
    </row>
    <row r="74" spans="4:4" x14ac:dyDescent="0.25">
      <c r="D74" s="110"/>
    </row>
    <row r="75" spans="4:4" x14ac:dyDescent="0.25">
      <c r="D75" s="110"/>
    </row>
    <row r="76" spans="4:4" x14ac:dyDescent="0.25">
      <c r="D76" s="110"/>
    </row>
    <row r="77" spans="4:4" x14ac:dyDescent="0.25">
      <c r="D77" s="110"/>
    </row>
    <row r="78" spans="4:4" x14ac:dyDescent="0.25">
      <c r="D78" s="110"/>
    </row>
    <row r="79" spans="4:4" x14ac:dyDescent="0.25">
      <c r="D79" s="110"/>
    </row>
    <row r="80" spans="4:4" x14ac:dyDescent="0.25">
      <c r="D80" s="110"/>
    </row>
    <row r="81" spans="4:4" x14ac:dyDescent="0.25">
      <c r="D81" s="110"/>
    </row>
    <row r="82" spans="4:4" x14ac:dyDescent="0.25">
      <c r="D82" s="110"/>
    </row>
    <row r="83" spans="4:4" x14ac:dyDescent="0.25">
      <c r="D83" s="110"/>
    </row>
    <row r="84" spans="4:4" x14ac:dyDescent="0.25">
      <c r="D84" s="110"/>
    </row>
    <row r="85" spans="4:4" x14ac:dyDescent="0.25">
      <c r="D85" s="110"/>
    </row>
    <row r="86" spans="4:4" x14ac:dyDescent="0.25">
      <c r="D86" s="110"/>
    </row>
    <row r="87" spans="4:4" x14ac:dyDescent="0.25">
      <c r="D87" s="110"/>
    </row>
    <row r="88" spans="4:4" x14ac:dyDescent="0.25">
      <c r="D88" s="110"/>
    </row>
    <row r="89" spans="4:4" x14ac:dyDescent="0.25">
      <c r="D89" s="110"/>
    </row>
    <row r="90" spans="4:4" x14ac:dyDescent="0.25">
      <c r="D90" s="110"/>
    </row>
    <row r="91" spans="4:4" x14ac:dyDescent="0.25">
      <c r="D91" s="110"/>
    </row>
    <row r="92" spans="4:4" x14ac:dyDescent="0.25">
      <c r="D92" s="110"/>
    </row>
    <row r="93" spans="4:4" x14ac:dyDescent="0.25">
      <c r="D93" s="110"/>
    </row>
    <row r="94" spans="4:4" x14ac:dyDescent="0.25">
      <c r="D94" s="110"/>
    </row>
    <row r="95" spans="4:4" x14ac:dyDescent="0.25">
      <c r="D95" s="110"/>
    </row>
    <row r="96" spans="4:4" x14ac:dyDescent="0.25">
      <c r="D96" s="110"/>
    </row>
    <row r="97" spans="4:4" x14ac:dyDescent="0.25">
      <c r="D97" s="110"/>
    </row>
    <row r="98" spans="4:4" x14ac:dyDescent="0.25">
      <c r="D98" s="110"/>
    </row>
    <row r="99" spans="4:4" x14ac:dyDescent="0.25">
      <c r="D99" s="110"/>
    </row>
    <row r="100" spans="4:4" x14ac:dyDescent="0.25">
      <c r="D100" s="110"/>
    </row>
    <row r="101" spans="4:4" x14ac:dyDescent="0.25">
      <c r="D101" s="110"/>
    </row>
    <row r="102" spans="4:4" x14ac:dyDescent="0.25">
      <c r="D102" s="110"/>
    </row>
    <row r="103" spans="4:4" x14ac:dyDescent="0.25">
      <c r="D103" s="110"/>
    </row>
    <row r="104" spans="4:4" x14ac:dyDescent="0.25">
      <c r="D104" s="110"/>
    </row>
    <row r="105" spans="4:4" x14ac:dyDescent="0.25">
      <c r="D105" s="110"/>
    </row>
    <row r="106" spans="4:4" x14ac:dyDescent="0.25">
      <c r="D106" s="110"/>
    </row>
    <row r="107" spans="4:4" x14ac:dyDescent="0.25">
      <c r="D107" s="110"/>
    </row>
    <row r="108" spans="4:4" x14ac:dyDescent="0.25">
      <c r="D108" s="110"/>
    </row>
    <row r="109" spans="4:4" x14ac:dyDescent="0.25">
      <c r="D109" s="110"/>
    </row>
    <row r="110" spans="4:4" x14ac:dyDescent="0.25">
      <c r="D110" s="110"/>
    </row>
    <row r="111" spans="4:4" x14ac:dyDescent="0.25">
      <c r="D111" s="110"/>
    </row>
    <row r="112" spans="4:4" x14ac:dyDescent="0.25">
      <c r="D112" s="110"/>
    </row>
    <row r="113" spans="4:4" x14ac:dyDescent="0.25">
      <c r="D113" s="110"/>
    </row>
    <row r="114" spans="4:4" x14ac:dyDescent="0.25">
      <c r="D114" s="110"/>
    </row>
    <row r="115" spans="4:4" x14ac:dyDescent="0.25">
      <c r="D115" s="110"/>
    </row>
    <row r="116" spans="4:4" x14ac:dyDescent="0.25">
      <c r="D116" s="110"/>
    </row>
    <row r="117" spans="4:4" x14ac:dyDescent="0.25">
      <c r="D117" s="110"/>
    </row>
    <row r="118" spans="4:4" x14ac:dyDescent="0.25">
      <c r="D118" s="110"/>
    </row>
    <row r="119" spans="4:4" x14ac:dyDescent="0.25">
      <c r="D119" s="110"/>
    </row>
    <row r="120" spans="4:4" x14ac:dyDescent="0.25">
      <c r="D120" s="110"/>
    </row>
    <row r="121" spans="4:4" x14ac:dyDescent="0.25">
      <c r="D121" s="110"/>
    </row>
    <row r="122" spans="4:4" x14ac:dyDescent="0.25">
      <c r="D122" s="110"/>
    </row>
    <row r="123" spans="4:4" x14ac:dyDescent="0.25">
      <c r="D123" s="110"/>
    </row>
    <row r="124" spans="4:4" x14ac:dyDescent="0.25">
      <c r="D124" s="110"/>
    </row>
    <row r="125" spans="4:4" x14ac:dyDescent="0.25">
      <c r="D125" s="110"/>
    </row>
    <row r="126" spans="4:4" x14ac:dyDescent="0.25">
      <c r="D126" s="110"/>
    </row>
    <row r="127" spans="4:4" x14ac:dyDescent="0.25">
      <c r="D127" s="110"/>
    </row>
    <row r="128" spans="4:4" x14ac:dyDescent="0.25">
      <c r="D128" s="110"/>
    </row>
    <row r="129" spans="4:4" x14ac:dyDescent="0.25">
      <c r="D129" s="110"/>
    </row>
    <row r="130" spans="4:4" x14ac:dyDescent="0.25">
      <c r="D130" s="110"/>
    </row>
    <row r="131" spans="4:4" x14ac:dyDescent="0.25">
      <c r="D131" s="110"/>
    </row>
    <row r="132" spans="4:4" x14ac:dyDescent="0.25">
      <c r="D132" s="110"/>
    </row>
    <row r="133" spans="4:4" x14ac:dyDescent="0.25">
      <c r="D133" s="110"/>
    </row>
    <row r="134" spans="4:4" x14ac:dyDescent="0.25">
      <c r="D134" s="110"/>
    </row>
    <row r="135" spans="4:4" x14ac:dyDescent="0.25">
      <c r="D135" s="110"/>
    </row>
    <row r="136" spans="4:4" x14ac:dyDescent="0.25">
      <c r="D136" s="110"/>
    </row>
    <row r="137" spans="4:4" x14ac:dyDescent="0.25">
      <c r="D137" s="110"/>
    </row>
    <row r="138" spans="4:4" x14ac:dyDescent="0.25">
      <c r="D138" s="110"/>
    </row>
    <row r="139" spans="4:4" x14ac:dyDescent="0.25">
      <c r="D139" s="110"/>
    </row>
    <row r="140" spans="4:4" x14ac:dyDescent="0.25">
      <c r="D140" s="110"/>
    </row>
    <row r="141" spans="4:4" x14ac:dyDescent="0.25">
      <c r="D141" s="110"/>
    </row>
    <row r="142" spans="4:4" x14ac:dyDescent="0.25">
      <c r="D142" s="110"/>
    </row>
    <row r="143" spans="4:4" x14ac:dyDescent="0.25">
      <c r="D143" s="110"/>
    </row>
    <row r="144" spans="4:4" x14ac:dyDescent="0.25">
      <c r="D144" s="110"/>
    </row>
    <row r="145" spans="4:4" x14ac:dyDescent="0.25">
      <c r="D145" s="110"/>
    </row>
    <row r="146" spans="4:4" x14ac:dyDescent="0.25">
      <c r="D146" s="110"/>
    </row>
    <row r="147" spans="4:4" x14ac:dyDescent="0.25">
      <c r="D147" s="110"/>
    </row>
    <row r="148" spans="4:4" x14ac:dyDescent="0.25">
      <c r="D148" s="110"/>
    </row>
    <row r="149" spans="4:4" x14ac:dyDescent="0.25">
      <c r="D149" s="110"/>
    </row>
    <row r="150" spans="4:4" x14ac:dyDescent="0.25">
      <c r="D150" s="110"/>
    </row>
    <row r="151" spans="4:4" x14ac:dyDescent="0.25">
      <c r="D151" s="110"/>
    </row>
    <row r="152" spans="4:4" x14ac:dyDescent="0.25">
      <c r="D152" s="110"/>
    </row>
    <row r="153" spans="4:4" x14ac:dyDescent="0.25">
      <c r="D153" s="110"/>
    </row>
    <row r="154" spans="4:4" x14ac:dyDescent="0.25">
      <c r="D154" s="110"/>
    </row>
    <row r="155" spans="4:4" x14ac:dyDescent="0.25">
      <c r="D155" s="110"/>
    </row>
    <row r="156" spans="4:4" x14ac:dyDescent="0.25">
      <c r="D156" s="110"/>
    </row>
    <row r="157" spans="4:4" x14ac:dyDescent="0.25">
      <c r="D157" s="110"/>
    </row>
    <row r="158" spans="4:4" x14ac:dyDescent="0.25">
      <c r="D158" s="110"/>
    </row>
    <row r="159" spans="4:4" x14ac:dyDescent="0.25">
      <c r="D159" s="110"/>
    </row>
    <row r="160" spans="4:4" x14ac:dyDescent="0.25">
      <c r="D160" s="110"/>
    </row>
    <row r="161" spans="4:4" x14ac:dyDescent="0.25">
      <c r="D161" s="110"/>
    </row>
    <row r="162" spans="4:4" x14ac:dyDescent="0.25">
      <c r="D162" s="110"/>
    </row>
    <row r="163" spans="4:4" x14ac:dyDescent="0.25">
      <c r="D163" s="110"/>
    </row>
    <row r="164" spans="4:4" x14ac:dyDescent="0.25">
      <c r="D164" s="110"/>
    </row>
    <row r="165" spans="4:4" x14ac:dyDescent="0.25">
      <c r="D165" s="110"/>
    </row>
    <row r="166" spans="4:4" x14ac:dyDescent="0.25">
      <c r="D166" s="110"/>
    </row>
    <row r="167" spans="4:4" x14ac:dyDescent="0.25">
      <c r="D167" s="110"/>
    </row>
    <row r="168" spans="4:4" x14ac:dyDescent="0.25">
      <c r="D168" s="110"/>
    </row>
    <row r="169" spans="4:4" x14ac:dyDescent="0.25">
      <c r="D169" s="110"/>
    </row>
    <row r="170" spans="4:4" x14ac:dyDescent="0.25">
      <c r="D170" s="110"/>
    </row>
    <row r="171" spans="4:4" x14ac:dyDescent="0.25">
      <c r="D171" s="11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5"/>
  <sheetViews>
    <sheetView zoomScaleNormal="100" workbookViewId="0">
      <pane ySplit="1" topLeftCell="A35" activePane="bottomLeft" state="frozen"/>
      <selection pane="bottomLeft" activeCell="H56" sqref="H56"/>
    </sheetView>
  </sheetViews>
  <sheetFormatPr defaultColWidth="12.7109375" defaultRowHeight="12.75" x14ac:dyDescent="0.2"/>
  <cols>
    <col min="1" max="1" width="12.7109375" style="84"/>
    <col min="2" max="2" width="16.42578125" style="84" customWidth="1"/>
    <col min="3" max="16384" width="12.7109375" style="84"/>
  </cols>
  <sheetData>
    <row r="1" spans="1:7" s="91" customFormat="1" ht="18" customHeight="1" x14ac:dyDescent="0.2">
      <c r="A1" s="92" t="s">
        <v>0</v>
      </c>
      <c r="B1" s="98" t="s">
        <v>48</v>
      </c>
      <c r="C1" s="98" t="s">
        <v>43</v>
      </c>
      <c r="D1" s="98" t="s">
        <v>44</v>
      </c>
      <c r="E1" s="98" t="s">
        <v>45</v>
      </c>
      <c r="F1" s="98" t="s">
        <v>46</v>
      </c>
      <c r="G1" s="98" t="s">
        <v>47</v>
      </c>
    </row>
    <row r="2" spans="1:7" s="91" customFormat="1" x14ac:dyDescent="0.2">
      <c r="A2" s="91">
        <v>1970</v>
      </c>
      <c r="B2" s="93">
        <v>23000</v>
      </c>
      <c r="C2" s="106">
        <v>8.35</v>
      </c>
      <c r="D2" s="93">
        <v>9867</v>
      </c>
      <c r="E2" s="93">
        <v>6697</v>
      </c>
      <c r="F2" s="84">
        <v>147.30000000000001</v>
      </c>
      <c r="G2" s="84">
        <f t="shared" ref="G2:G13" si="0">+F2</f>
        <v>147.30000000000001</v>
      </c>
    </row>
    <row r="3" spans="1:7" s="91" customFormat="1" x14ac:dyDescent="0.2">
      <c r="A3" s="91">
        <f>+A2+1</f>
        <v>1971</v>
      </c>
      <c r="B3" s="93">
        <v>24800</v>
      </c>
      <c r="C3" s="106">
        <v>7.67</v>
      </c>
      <c r="D3" s="93">
        <v>10285</v>
      </c>
      <c r="E3" s="93">
        <v>6770</v>
      </c>
      <c r="F3" s="84">
        <v>151.9</v>
      </c>
      <c r="G3" s="84">
        <f t="shared" si="0"/>
        <v>151.9</v>
      </c>
    </row>
    <row r="4" spans="1:7" s="91" customFormat="1" x14ac:dyDescent="0.2">
      <c r="A4" s="91">
        <v>1972</v>
      </c>
      <c r="B4" s="93">
        <v>26700</v>
      </c>
      <c r="C4" s="106">
        <v>7.52</v>
      </c>
      <c r="D4" s="93">
        <v>11116</v>
      </c>
      <c r="E4" s="93">
        <v>7183</v>
      </c>
      <c r="F4" s="84">
        <v>154.80000000000001</v>
      </c>
      <c r="G4" s="84">
        <f t="shared" si="0"/>
        <v>154.80000000000001</v>
      </c>
    </row>
    <row r="5" spans="1:7" s="91" customFormat="1" x14ac:dyDescent="0.2">
      <c r="A5" s="91">
        <v>1973</v>
      </c>
      <c r="B5" s="93">
        <v>28900</v>
      </c>
      <c r="C5" s="106">
        <v>8.01</v>
      </c>
      <c r="D5" s="93">
        <v>12051</v>
      </c>
      <c r="E5" s="93">
        <v>8151</v>
      </c>
      <c r="F5" s="84">
        <v>147.9</v>
      </c>
      <c r="G5" s="84">
        <f t="shared" si="0"/>
        <v>147.9</v>
      </c>
    </row>
    <row r="6" spans="1:7" s="91" customFormat="1" x14ac:dyDescent="0.2">
      <c r="A6" s="91">
        <v>1974</v>
      </c>
      <c r="B6" s="93">
        <v>32000</v>
      </c>
      <c r="C6" s="106">
        <v>9.02</v>
      </c>
      <c r="D6" s="93">
        <v>12902</v>
      </c>
      <c r="E6" s="93">
        <v>9905</v>
      </c>
      <c r="F6" s="84">
        <v>130.30000000000001</v>
      </c>
      <c r="G6" s="84">
        <f t="shared" si="0"/>
        <v>130.30000000000001</v>
      </c>
    </row>
    <row r="7" spans="1:7" s="91" customFormat="1" x14ac:dyDescent="0.2">
      <c r="A7" s="91">
        <v>1975</v>
      </c>
      <c r="B7" s="93">
        <v>35300</v>
      </c>
      <c r="C7" s="106">
        <v>9.2100000000000009</v>
      </c>
      <c r="D7" s="93">
        <v>13719</v>
      </c>
      <c r="E7" s="93">
        <v>11112</v>
      </c>
      <c r="F7" s="84">
        <v>123.5</v>
      </c>
      <c r="G7" s="84">
        <f t="shared" si="0"/>
        <v>123.5</v>
      </c>
    </row>
    <row r="8" spans="1:7" s="91" customFormat="1" x14ac:dyDescent="0.2">
      <c r="A8" s="91">
        <v>1976</v>
      </c>
      <c r="B8" s="93">
        <v>38100</v>
      </c>
      <c r="C8" s="106">
        <v>9.11</v>
      </c>
      <c r="D8" s="93">
        <v>14958</v>
      </c>
      <c r="E8" s="93">
        <v>11888</v>
      </c>
      <c r="F8" s="84">
        <v>125.8</v>
      </c>
      <c r="G8" s="84">
        <f t="shared" si="0"/>
        <v>125.8</v>
      </c>
    </row>
    <row r="9" spans="1:7" s="91" customFormat="1" x14ac:dyDescent="0.2">
      <c r="A9" s="91">
        <v>1977</v>
      </c>
      <c r="B9" s="93">
        <v>42900</v>
      </c>
      <c r="C9" s="106">
        <v>9.02</v>
      </c>
      <c r="D9" s="93">
        <v>16010</v>
      </c>
      <c r="E9" s="93">
        <v>13279</v>
      </c>
      <c r="F9" s="84">
        <v>120.6</v>
      </c>
      <c r="G9" s="84">
        <f t="shared" si="0"/>
        <v>120.6</v>
      </c>
    </row>
    <row r="10" spans="1:7" s="91" customFormat="1" x14ac:dyDescent="0.2">
      <c r="A10" s="91">
        <v>1978</v>
      </c>
      <c r="B10" s="93">
        <v>48700</v>
      </c>
      <c r="C10" s="106">
        <v>9.58</v>
      </c>
      <c r="D10" s="93">
        <v>17640</v>
      </c>
      <c r="E10" s="93">
        <v>15834</v>
      </c>
      <c r="F10" s="84">
        <v>111.4</v>
      </c>
      <c r="G10" s="84">
        <f t="shared" si="0"/>
        <v>111.4</v>
      </c>
    </row>
    <row r="11" spans="1:7" s="91" customFormat="1" x14ac:dyDescent="0.2">
      <c r="A11" s="91">
        <v>1979</v>
      </c>
      <c r="B11" s="93">
        <v>55700</v>
      </c>
      <c r="C11" s="106">
        <v>10.92</v>
      </c>
      <c r="D11" s="93">
        <v>19680</v>
      </c>
      <c r="E11" s="93">
        <v>20240</v>
      </c>
      <c r="F11" s="84">
        <v>97.2</v>
      </c>
      <c r="G11" s="84">
        <f t="shared" si="0"/>
        <v>97.2</v>
      </c>
    </row>
    <row r="12" spans="1:7" s="91" customFormat="1" x14ac:dyDescent="0.2">
      <c r="A12" s="91">
        <v>1980</v>
      </c>
      <c r="B12" s="93">
        <v>62200</v>
      </c>
      <c r="C12" s="106">
        <v>12.95</v>
      </c>
      <c r="D12" s="93">
        <v>21023</v>
      </c>
      <c r="E12" s="93">
        <v>26328</v>
      </c>
      <c r="F12" s="84">
        <v>79.900000000000006</v>
      </c>
      <c r="G12" s="84">
        <f t="shared" si="0"/>
        <v>79.900000000000006</v>
      </c>
    </row>
    <row r="13" spans="1:7" s="91" customFormat="1" x14ac:dyDescent="0.2">
      <c r="A13" s="91">
        <v>1981</v>
      </c>
      <c r="B13" s="93">
        <v>66400</v>
      </c>
      <c r="C13" s="106">
        <v>15.12</v>
      </c>
      <c r="D13" s="93">
        <v>22388</v>
      </c>
      <c r="E13" s="93">
        <v>32485</v>
      </c>
      <c r="F13" s="84">
        <v>68.900000000000006</v>
      </c>
      <c r="G13" s="84">
        <f t="shared" si="0"/>
        <v>68.900000000000006</v>
      </c>
    </row>
    <row r="14" spans="1:7" s="91" customFormat="1" x14ac:dyDescent="0.2">
      <c r="A14" s="91">
        <v>1982</v>
      </c>
      <c r="B14" s="93">
        <v>67800</v>
      </c>
      <c r="C14" s="106">
        <v>15.38</v>
      </c>
      <c r="D14" s="93">
        <v>23433</v>
      </c>
      <c r="E14" s="93">
        <v>33713</v>
      </c>
      <c r="F14" s="84">
        <v>69.5</v>
      </c>
      <c r="G14" s="84">
        <v>69.400000000000006</v>
      </c>
    </row>
    <row r="15" spans="1:7" s="91" customFormat="1" x14ac:dyDescent="0.2">
      <c r="A15" s="91">
        <v>1983</v>
      </c>
      <c r="B15" s="93">
        <v>70300</v>
      </c>
      <c r="C15" s="106">
        <v>12.85</v>
      </c>
      <c r="D15" s="93">
        <v>24580</v>
      </c>
      <c r="E15" s="93">
        <v>29546</v>
      </c>
      <c r="F15" s="84">
        <v>83.2</v>
      </c>
      <c r="G15" s="84">
        <v>81.7</v>
      </c>
    </row>
    <row r="16" spans="1:7" s="91" customFormat="1" x14ac:dyDescent="0.2">
      <c r="A16" s="91">
        <v>1984</v>
      </c>
      <c r="B16" s="93">
        <v>72400</v>
      </c>
      <c r="C16" s="106">
        <v>12.49</v>
      </c>
      <c r="D16" s="93">
        <v>26433</v>
      </c>
      <c r="E16" s="93">
        <v>29650</v>
      </c>
      <c r="F16" s="84">
        <v>89.1</v>
      </c>
      <c r="G16" s="84">
        <v>84.6</v>
      </c>
    </row>
    <row r="17" spans="1:7" s="91" customFormat="1" x14ac:dyDescent="0.2">
      <c r="A17" s="91">
        <v>1985</v>
      </c>
      <c r="B17" s="93">
        <v>75500</v>
      </c>
      <c r="C17" s="106">
        <v>11.74</v>
      </c>
      <c r="D17" s="93">
        <v>27735</v>
      </c>
      <c r="E17" s="93">
        <v>29243</v>
      </c>
      <c r="F17" s="84">
        <v>94.8</v>
      </c>
      <c r="G17" s="84">
        <v>89.6</v>
      </c>
    </row>
    <row r="18" spans="1:7" s="91" customFormat="1" x14ac:dyDescent="0.2">
      <c r="A18" s="91">
        <v>1986</v>
      </c>
      <c r="B18" s="93">
        <v>80300</v>
      </c>
      <c r="C18" s="106">
        <v>10.25</v>
      </c>
      <c r="D18" s="93">
        <v>29458</v>
      </c>
      <c r="E18" s="93">
        <v>27047</v>
      </c>
      <c r="F18" s="84">
        <v>108.9</v>
      </c>
      <c r="G18" s="84">
        <v>105.7</v>
      </c>
    </row>
    <row r="19" spans="1:7" s="91" customFormat="1" x14ac:dyDescent="0.2">
      <c r="A19" s="91">
        <v>1987</v>
      </c>
      <c r="B19" s="93">
        <v>85600</v>
      </c>
      <c r="C19" s="106">
        <v>9.2799999999999994</v>
      </c>
      <c r="D19" s="93">
        <v>30970</v>
      </c>
      <c r="E19" s="93">
        <v>27113</v>
      </c>
      <c r="F19" s="84">
        <v>114.2</v>
      </c>
      <c r="G19" s="84">
        <v>107.6</v>
      </c>
    </row>
    <row r="20" spans="1:7" s="91" customFormat="1" x14ac:dyDescent="0.2">
      <c r="A20" s="91">
        <v>1988</v>
      </c>
      <c r="B20" s="93">
        <v>89300</v>
      </c>
      <c r="C20" s="106">
        <v>9.31</v>
      </c>
      <c r="D20" s="93">
        <v>32191</v>
      </c>
      <c r="E20" s="93">
        <v>28360</v>
      </c>
      <c r="F20" s="84">
        <v>113.5</v>
      </c>
      <c r="G20" s="84">
        <v>103.6</v>
      </c>
    </row>
    <row r="21" spans="1:7" s="91" customFormat="1" x14ac:dyDescent="0.2">
      <c r="A21" s="91">
        <v>1989</v>
      </c>
      <c r="B21" s="93">
        <v>94600</v>
      </c>
      <c r="C21" s="106">
        <v>10.11</v>
      </c>
      <c r="D21" s="93">
        <v>34213</v>
      </c>
      <c r="E21" s="93">
        <v>32160</v>
      </c>
      <c r="F21" s="84">
        <v>106.4</v>
      </c>
      <c r="G21" s="84">
        <v>102</v>
      </c>
    </row>
    <row r="22" spans="1:7" s="91" customFormat="1" x14ac:dyDescent="0.2">
      <c r="A22" s="91">
        <f>A23-1</f>
        <v>1990</v>
      </c>
      <c r="B22" s="93">
        <v>97300</v>
      </c>
      <c r="C22" s="106">
        <v>10.039999999999999</v>
      </c>
      <c r="D22" s="93">
        <v>35353</v>
      </c>
      <c r="E22" s="93">
        <v>32880</v>
      </c>
      <c r="F22" s="84">
        <v>107.5</v>
      </c>
      <c r="G22" s="84">
        <v>104.6</v>
      </c>
    </row>
    <row r="23" spans="1:7" s="91" customFormat="1" x14ac:dyDescent="0.2">
      <c r="A23" s="91">
        <f>A24-1</f>
        <v>1991</v>
      </c>
      <c r="B23" s="93">
        <v>102700</v>
      </c>
      <c r="C23" s="106">
        <v>9.3000000000000007</v>
      </c>
      <c r="D23" s="93">
        <v>35939</v>
      </c>
      <c r="E23" s="93">
        <v>32592</v>
      </c>
      <c r="F23" s="84">
        <v>110.3</v>
      </c>
      <c r="G23" s="84">
        <v>107.4</v>
      </c>
    </row>
    <row r="24" spans="1:7" s="91" customFormat="1" x14ac:dyDescent="0.2">
      <c r="A24" s="91">
        <f>A25-1</f>
        <v>1992</v>
      </c>
      <c r="B24" s="93">
        <v>105500</v>
      </c>
      <c r="C24" s="106">
        <v>8.11</v>
      </c>
      <c r="D24" s="93">
        <v>36573</v>
      </c>
      <c r="E24" s="93">
        <v>30048</v>
      </c>
      <c r="F24" s="84">
        <v>121.7</v>
      </c>
      <c r="G24" s="84">
        <v>117.2</v>
      </c>
    </row>
    <row r="25" spans="1:7" s="91" customFormat="1" x14ac:dyDescent="0.2">
      <c r="A25" s="91">
        <f>A26-1</f>
        <v>1993</v>
      </c>
      <c r="B25" s="93">
        <v>109100</v>
      </c>
      <c r="C25" s="106">
        <v>7.16</v>
      </c>
      <c r="D25" s="93">
        <v>36959</v>
      </c>
      <c r="E25" s="93">
        <v>28320</v>
      </c>
      <c r="F25" s="84">
        <v>130.5</v>
      </c>
      <c r="G25" s="84">
        <v>125.6</v>
      </c>
    </row>
    <row r="26" spans="1:7" s="91" customFormat="1" x14ac:dyDescent="0.2">
      <c r="A26" s="91">
        <f>A27-1</f>
        <v>1994</v>
      </c>
      <c r="B26" s="93">
        <v>113500</v>
      </c>
      <c r="C26" s="106">
        <v>7.47</v>
      </c>
      <c r="D26" s="93">
        <v>38782</v>
      </c>
      <c r="E26" s="93">
        <v>30384</v>
      </c>
      <c r="F26" s="84">
        <v>127.6</v>
      </c>
      <c r="G26" s="84">
        <v>118.3</v>
      </c>
    </row>
    <row r="27" spans="1:7" s="91" customFormat="1" x14ac:dyDescent="0.2">
      <c r="A27" s="91">
        <v>1995</v>
      </c>
      <c r="B27" s="93">
        <v>117000</v>
      </c>
      <c r="C27" s="106">
        <v>7.85</v>
      </c>
      <c r="D27" s="93">
        <v>40611</v>
      </c>
      <c r="E27" s="93">
        <v>32496</v>
      </c>
      <c r="F27" s="84">
        <v>125</v>
      </c>
      <c r="G27" s="84">
        <v>119.5</v>
      </c>
    </row>
    <row r="28" spans="1:7" s="91" customFormat="1" x14ac:dyDescent="0.2">
      <c r="A28" s="91">
        <v>1996</v>
      </c>
      <c r="B28" s="93">
        <v>122600</v>
      </c>
      <c r="C28" s="106">
        <v>7.71</v>
      </c>
      <c r="D28" s="93">
        <v>42300</v>
      </c>
      <c r="E28" s="93">
        <v>33600</v>
      </c>
      <c r="F28" s="84">
        <v>125.9</v>
      </c>
      <c r="G28" s="84">
        <v>122.4</v>
      </c>
    </row>
    <row r="29" spans="1:7" s="91" customFormat="1" x14ac:dyDescent="0.2">
      <c r="A29" s="91">
        <v>1997</v>
      </c>
      <c r="B29" s="93">
        <v>129000</v>
      </c>
      <c r="C29" s="106">
        <v>7.68</v>
      </c>
      <c r="D29" s="93">
        <v>44568</v>
      </c>
      <c r="E29" s="93">
        <v>35232</v>
      </c>
      <c r="F29" s="84">
        <v>126.5</v>
      </c>
      <c r="G29" s="84">
        <v>123.6</v>
      </c>
    </row>
    <row r="30" spans="1:7" s="91" customFormat="1" x14ac:dyDescent="0.2">
      <c r="A30" s="91">
        <v>1998</v>
      </c>
      <c r="B30" s="93">
        <v>136000</v>
      </c>
      <c r="C30" s="106">
        <v>7.1</v>
      </c>
      <c r="D30" s="93">
        <v>46737</v>
      </c>
      <c r="E30" s="93">
        <v>35088</v>
      </c>
      <c r="F30" s="84">
        <v>133.19999999999999</v>
      </c>
      <c r="G30" s="84">
        <v>131.9</v>
      </c>
    </row>
    <row r="31" spans="1:7" s="91" customFormat="1" x14ac:dyDescent="0.2">
      <c r="A31" s="91">
        <v>1999</v>
      </c>
      <c r="B31" s="93">
        <v>141200</v>
      </c>
      <c r="C31" s="106">
        <v>7.33</v>
      </c>
      <c r="D31" s="93">
        <v>48831</v>
      </c>
      <c r="E31" s="93">
        <v>37296</v>
      </c>
      <c r="F31" s="84">
        <v>130.9</v>
      </c>
      <c r="G31" s="84">
        <v>128.4</v>
      </c>
    </row>
    <row r="32" spans="1:7" s="91" customFormat="1" x14ac:dyDescent="0.2">
      <c r="A32" s="91">
        <v>2000</v>
      </c>
      <c r="B32" s="93">
        <v>147300</v>
      </c>
      <c r="C32" s="106">
        <v>8.0299999999999994</v>
      </c>
      <c r="D32" s="93">
        <v>50732</v>
      </c>
      <c r="E32" s="93">
        <v>41616</v>
      </c>
      <c r="F32" s="84">
        <v>121.9</v>
      </c>
      <c r="G32" s="84">
        <v>120.5</v>
      </c>
    </row>
    <row r="33" spans="1:16" s="91" customFormat="1" x14ac:dyDescent="0.2">
      <c r="A33" s="91">
        <v>2001</v>
      </c>
      <c r="B33" s="93">
        <v>156600</v>
      </c>
      <c r="C33" s="106">
        <v>7.03</v>
      </c>
      <c r="D33" s="93">
        <v>51407</v>
      </c>
      <c r="E33" s="93">
        <v>40128</v>
      </c>
      <c r="F33" s="84">
        <v>128.1</v>
      </c>
      <c r="G33" s="84">
        <v>128.1</v>
      </c>
    </row>
    <row r="34" spans="1:16" s="91" customFormat="1" x14ac:dyDescent="0.2">
      <c r="A34" s="91">
        <v>2002</v>
      </c>
      <c r="B34" s="93">
        <v>167600</v>
      </c>
      <c r="C34" s="106">
        <v>6.55</v>
      </c>
      <c r="D34" s="93">
        <v>51680</v>
      </c>
      <c r="E34" s="93">
        <v>40896</v>
      </c>
      <c r="F34" s="84">
        <v>126.4</v>
      </c>
      <c r="G34" s="84">
        <v>124.2</v>
      </c>
    </row>
    <row r="35" spans="1:16" s="91" customFormat="1" x14ac:dyDescent="0.2">
      <c r="A35" s="91">
        <v>2003</v>
      </c>
      <c r="B35" s="93">
        <v>180200</v>
      </c>
      <c r="C35" s="106">
        <v>5.74</v>
      </c>
      <c r="D35" s="93">
        <v>52680</v>
      </c>
      <c r="E35" s="93">
        <v>40320</v>
      </c>
      <c r="F35" s="84">
        <v>130.69999999999999</v>
      </c>
      <c r="G35" s="84">
        <v>128.19999999999999</v>
      </c>
    </row>
    <row r="36" spans="1:16" s="91" customFormat="1" x14ac:dyDescent="0.2">
      <c r="A36" s="91">
        <v>2004</v>
      </c>
      <c r="B36" s="93">
        <v>195200</v>
      </c>
      <c r="C36" s="106">
        <v>5.73</v>
      </c>
      <c r="D36" s="93">
        <v>54061</v>
      </c>
      <c r="E36" s="93">
        <v>43632</v>
      </c>
      <c r="F36" s="84">
        <v>123.9</v>
      </c>
      <c r="G36" s="84">
        <v>120.3</v>
      </c>
    </row>
    <row r="37" spans="1:16" s="91" customFormat="1" x14ac:dyDescent="0.2">
      <c r="A37" s="91">
        <v>2005</v>
      </c>
      <c r="B37" s="93">
        <v>219000</v>
      </c>
      <c r="C37" s="106">
        <v>5.91</v>
      </c>
      <c r="D37" s="93">
        <v>56194</v>
      </c>
      <c r="E37" s="93">
        <v>49920</v>
      </c>
      <c r="F37" s="84">
        <v>112.6</v>
      </c>
      <c r="G37" s="84">
        <v>110.9</v>
      </c>
    </row>
    <row r="38" spans="1:16" s="91" customFormat="1" x14ac:dyDescent="0.2">
      <c r="A38" s="91">
        <v>2006</v>
      </c>
      <c r="B38" s="93">
        <v>221900</v>
      </c>
      <c r="C38" s="106">
        <v>6.58</v>
      </c>
      <c r="D38" s="93">
        <v>58407</v>
      </c>
      <c r="E38" s="93">
        <v>54288</v>
      </c>
      <c r="F38" s="84">
        <v>107.6</v>
      </c>
      <c r="G38" s="84">
        <v>107.1</v>
      </c>
    </row>
    <row r="39" spans="1:16" s="91" customFormat="1" x14ac:dyDescent="0.2">
      <c r="A39" s="91">
        <v>2007</v>
      </c>
      <c r="B39" s="93">
        <v>217900</v>
      </c>
      <c r="C39" s="106">
        <v>6.52</v>
      </c>
      <c r="D39" s="93">
        <v>61173</v>
      </c>
      <c r="E39" s="93">
        <v>52992</v>
      </c>
      <c r="F39" s="84">
        <v>115.4</v>
      </c>
      <c r="G39" s="84">
        <v>115.3</v>
      </c>
    </row>
    <row r="40" spans="1:16" s="91" customFormat="1" x14ac:dyDescent="0.2">
      <c r="A40" s="91">
        <v>2008</v>
      </c>
      <c r="B40" s="93">
        <v>196600</v>
      </c>
      <c r="C40" s="106">
        <v>6.15</v>
      </c>
      <c r="D40" s="93">
        <v>63366</v>
      </c>
      <c r="E40" s="93">
        <v>45984</v>
      </c>
      <c r="F40" s="84">
        <v>137.80000000000001</v>
      </c>
      <c r="G40" s="84">
        <v>137.4</v>
      </c>
    </row>
    <row r="41" spans="1:16" s="91" customFormat="1" x14ac:dyDescent="0.2">
      <c r="A41" s="91">
        <v>2009</v>
      </c>
      <c r="B41" s="93">
        <v>172100</v>
      </c>
      <c r="C41" s="106">
        <v>5.14</v>
      </c>
      <c r="D41" s="93">
        <v>61082</v>
      </c>
      <c r="E41" s="93">
        <v>36048</v>
      </c>
      <c r="F41" s="84">
        <v>169.4</v>
      </c>
      <c r="G41" s="84">
        <v>169.2</v>
      </c>
    </row>
    <row r="42" spans="1:16" s="91" customFormat="1" x14ac:dyDescent="0.2">
      <c r="A42" s="91">
        <v>2010</v>
      </c>
      <c r="B42" s="93">
        <v>173100</v>
      </c>
      <c r="C42" s="106">
        <v>4.8899999999999997</v>
      </c>
      <c r="D42" s="93">
        <v>60609</v>
      </c>
      <c r="E42" s="93">
        <v>35232</v>
      </c>
      <c r="F42" s="84">
        <v>172</v>
      </c>
      <c r="G42" s="84">
        <v>171.3</v>
      </c>
    </row>
    <row r="43" spans="1:16" s="91" customFormat="1" x14ac:dyDescent="0.2">
      <c r="A43" s="91">
        <v>2011</v>
      </c>
      <c r="B43" s="93">
        <v>166200</v>
      </c>
      <c r="C43" s="106">
        <v>4.67</v>
      </c>
      <c r="D43" s="93">
        <v>61455</v>
      </c>
      <c r="E43" s="93">
        <v>32976</v>
      </c>
      <c r="F43" s="84">
        <v>186.4</v>
      </c>
      <c r="G43" s="84">
        <v>183.4</v>
      </c>
    </row>
    <row r="44" spans="1:16" x14ac:dyDescent="0.2">
      <c r="A44" s="91">
        <v>2012</v>
      </c>
      <c r="B44" s="93">
        <v>177200</v>
      </c>
      <c r="C44" s="106">
        <v>3.83</v>
      </c>
      <c r="D44" s="93">
        <v>62527</v>
      </c>
      <c r="E44" s="93">
        <v>31824</v>
      </c>
      <c r="F44" s="84">
        <v>196.5</v>
      </c>
      <c r="G44" s="84">
        <v>193.3</v>
      </c>
      <c r="H44" s="91"/>
      <c r="I44" s="91"/>
      <c r="J44" s="91"/>
      <c r="K44" s="91"/>
      <c r="L44" s="91"/>
      <c r="M44" s="91"/>
      <c r="N44" s="91"/>
      <c r="O44" s="91"/>
      <c r="P44" s="91"/>
    </row>
    <row r="45" spans="1:16" x14ac:dyDescent="0.2">
      <c r="A45" s="91">
        <v>2013</v>
      </c>
      <c r="B45" s="93">
        <v>197400</v>
      </c>
      <c r="C45" s="106">
        <v>4</v>
      </c>
      <c r="D45" s="93">
        <v>64030</v>
      </c>
      <c r="E45" s="93">
        <v>36192</v>
      </c>
      <c r="F45" s="84">
        <v>176.9</v>
      </c>
      <c r="G45" s="84">
        <v>175.1</v>
      </c>
      <c r="I45" s="91"/>
      <c r="J45" s="91"/>
      <c r="K45" s="91"/>
      <c r="L45" s="91"/>
      <c r="M45" s="91"/>
      <c r="N45" s="91"/>
      <c r="O45" s="91"/>
      <c r="P45" s="91"/>
    </row>
    <row r="46" spans="1:16" x14ac:dyDescent="0.2">
      <c r="A46" s="91">
        <v>2014</v>
      </c>
      <c r="B46" s="93">
        <v>208900</v>
      </c>
      <c r="C46" s="106">
        <v>4.3099999999999996</v>
      </c>
      <c r="D46" s="93">
        <v>65910</v>
      </c>
      <c r="E46" s="93">
        <v>39744</v>
      </c>
      <c r="F46" s="84">
        <v>165.8</v>
      </c>
      <c r="G46" s="84">
        <v>163.5</v>
      </c>
    </row>
    <row r="47" spans="1:16" x14ac:dyDescent="0.2">
      <c r="A47" s="91">
        <v>2015</v>
      </c>
      <c r="B47" s="93">
        <v>223900</v>
      </c>
      <c r="C47" s="106">
        <v>4.03</v>
      </c>
      <c r="D47" s="93">
        <v>68260</v>
      </c>
      <c r="E47" s="93">
        <v>41184</v>
      </c>
      <c r="F47" s="84">
        <v>165.7</v>
      </c>
      <c r="G47" s="84">
        <v>164.6</v>
      </c>
    </row>
    <row r="48" spans="1:16" x14ac:dyDescent="0.2">
      <c r="A48" s="91">
        <v>2016</v>
      </c>
      <c r="B48" s="93">
        <v>235500</v>
      </c>
      <c r="C48" s="106">
        <v>3.88</v>
      </c>
      <c r="D48" s="93">
        <v>71062</v>
      </c>
      <c r="E48" s="93">
        <v>42528</v>
      </c>
      <c r="F48" s="84">
        <v>167.1</v>
      </c>
      <c r="G48" s="84">
        <v>166.2</v>
      </c>
      <c r="I48" s="84" t="s">
        <v>357</v>
      </c>
    </row>
    <row r="49" spans="1:7" x14ac:dyDescent="0.2">
      <c r="A49" s="91">
        <v>2017</v>
      </c>
      <c r="B49" s="93">
        <v>248800</v>
      </c>
      <c r="C49" s="106">
        <v>4.2</v>
      </c>
      <c r="D49" s="93">
        <v>73891</v>
      </c>
      <c r="E49" s="93">
        <v>46704</v>
      </c>
      <c r="F49" s="84">
        <v>158.19999999999999</v>
      </c>
      <c r="G49" s="84">
        <v>157.9</v>
      </c>
    </row>
    <row r="50" spans="1:7" x14ac:dyDescent="0.2">
      <c r="A50" s="91">
        <v>2018</v>
      </c>
      <c r="B50" s="93">
        <v>261600</v>
      </c>
      <c r="C50" s="106">
        <v>4.72</v>
      </c>
      <c r="D50" s="93">
        <v>76401</v>
      </c>
      <c r="E50" s="93">
        <v>52224</v>
      </c>
      <c r="F50" s="84">
        <v>146.30000000000001</v>
      </c>
      <c r="G50" s="84">
        <v>146.30000000000001</v>
      </c>
    </row>
    <row r="51" spans="1:7" x14ac:dyDescent="0.2">
      <c r="A51" s="91">
        <v>2019</v>
      </c>
      <c r="B51" s="93">
        <v>274600</v>
      </c>
      <c r="C51" s="106">
        <v>4.04</v>
      </c>
      <c r="D51" s="93">
        <v>80944</v>
      </c>
      <c r="E51" s="93">
        <v>50592</v>
      </c>
      <c r="F51" s="84">
        <v>159.69999999999999</v>
      </c>
      <c r="G51" s="99">
        <v>160</v>
      </c>
    </row>
    <row r="52" spans="1:7" x14ac:dyDescent="0.2">
      <c r="A52" s="91">
        <v>2020</v>
      </c>
      <c r="B52" s="93">
        <v>300200</v>
      </c>
      <c r="C52" s="106">
        <v>3.17</v>
      </c>
      <c r="D52" s="93">
        <v>84394</v>
      </c>
      <c r="E52" s="93">
        <v>49680</v>
      </c>
      <c r="F52" s="84">
        <v>169.9</v>
      </c>
      <c r="G52" s="84">
        <v>169.9</v>
      </c>
    </row>
    <row r="53" spans="1:7" x14ac:dyDescent="0.2">
      <c r="A53" s="91">
        <v>2021</v>
      </c>
      <c r="B53" s="147">
        <v>357100</v>
      </c>
      <c r="C53" s="106">
        <v>3.01</v>
      </c>
      <c r="D53" s="93">
        <v>85806</v>
      </c>
      <c r="E53" s="148">
        <v>57888</v>
      </c>
      <c r="F53" s="84">
        <v>150.30000000000001</v>
      </c>
      <c r="G53" s="149">
        <v>148.19999999999999</v>
      </c>
    </row>
    <row r="54" spans="1:7" x14ac:dyDescent="0.2">
      <c r="A54" s="84">
        <v>2022</v>
      </c>
      <c r="B54" s="93">
        <v>392800</v>
      </c>
      <c r="C54" s="106">
        <v>5.4</v>
      </c>
      <c r="D54" s="93">
        <v>92148</v>
      </c>
      <c r="E54" s="93">
        <v>84720</v>
      </c>
      <c r="G54" s="84">
        <v>108.8</v>
      </c>
    </row>
    <row r="55" spans="1:7" x14ac:dyDescent="0.2">
      <c r="A55" s="84">
        <v>2023</v>
      </c>
      <c r="B55" s="93">
        <v>394100</v>
      </c>
      <c r="C55" s="84">
        <v>6.88</v>
      </c>
      <c r="D55" s="93">
        <v>96401</v>
      </c>
      <c r="E55" s="93">
        <v>99456</v>
      </c>
      <c r="G55" s="84">
        <v>96.9</v>
      </c>
    </row>
    <row r="56" spans="1:7" x14ac:dyDescent="0.2">
      <c r="A56" s="91">
        <v>2024</v>
      </c>
      <c r="B56" s="93">
        <v>412400</v>
      </c>
      <c r="C56" s="84">
        <v>6.81</v>
      </c>
      <c r="D56" s="93">
        <v>101360</v>
      </c>
      <c r="E56" s="93">
        <v>103344</v>
      </c>
      <c r="G56" s="84">
        <v>98.1</v>
      </c>
    </row>
    <row r="57" spans="1:7" x14ac:dyDescent="0.2">
      <c r="A57" s="84">
        <v>2025</v>
      </c>
      <c r="B57" s="93">
        <v>417817</v>
      </c>
      <c r="C57" s="84">
        <v>6.68</v>
      </c>
      <c r="D57" s="93">
        <v>106031</v>
      </c>
      <c r="E57" s="93">
        <v>103300</v>
      </c>
      <c r="G57" s="84">
        <v>102.8</v>
      </c>
    </row>
    <row r="58" spans="1:7" x14ac:dyDescent="0.2">
      <c r="B58" s="93"/>
      <c r="D58" s="93"/>
      <c r="E58" s="93"/>
    </row>
    <row r="59" spans="1:7" x14ac:dyDescent="0.2">
      <c r="B59" s="93"/>
      <c r="D59" s="93"/>
      <c r="E59" s="93"/>
    </row>
    <row r="60" spans="1:7" x14ac:dyDescent="0.2">
      <c r="B60" s="93"/>
      <c r="D60" s="93"/>
      <c r="E60" s="93"/>
    </row>
    <row r="61" spans="1:7" x14ac:dyDescent="0.2">
      <c r="B61" s="93"/>
      <c r="D61" s="93"/>
      <c r="E61" s="93"/>
    </row>
    <row r="62" spans="1:7" x14ac:dyDescent="0.2">
      <c r="B62" s="93"/>
      <c r="D62" s="93"/>
      <c r="E62" s="93"/>
    </row>
    <row r="63" spans="1:7" x14ac:dyDescent="0.2">
      <c r="B63" s="93"/>
      <c r="D63" s="93"/>
      <c r="E63" s="93"/>
    </row>
    <row r="64" spans="1:7" x14ac:dyDescent="0.2">
      <c r="B64" s="93"/>
      <c r="D64" s="93"/>
      <c r="E64" s="93"/>
    </row>
    <row r="65" spans="2:5" x14ac:dyDescent="0.2">
      <c r="B65" s="93"/>
      <c r="D65" s="93"/>
      <c r="E65" s="93"/>
    </row>
    <row r="66" spans="2:5" x14ac:dyDescent="0.2">
      <c r="B66" s="93"/>
      <c r="D66" s="93"/>
      <c r="E66" s="93"/>
    </row>
    <row r="67" spans="2:5" x14ac:dyDescent="0.2">
      <c r="B67" s="93"/>
      <c r="D67" s="93"/>
      <c r="E67" s="93"/>
    </row>
    <row r="68" spans="2:5" x14ac:dyDescent="0.2">
      <c r="B68" s="93"/>
      <c r="D68" s="93"/>
      <c r="E68" s="93"/>
    </row>
    <row r="69" spans="2:5" x14ac:dyDescent="0.2">
      <c r="B69" s="93"/>
      <c r="D69" s="93"/>
      <c r="E69" s="93"/>
    </row>
    <row r="70" spans="2:5" x14ac:dyDescent="0.2">
      <c r="B70" s="93"/>
      <c r="D70" s="93"/>
      <c r="E70" s="93"/>
    </row>
    <row r="71" spans="2:5" x14ac:dyDescent="0.2">
      <c r="B71" s="93"/>
      <c r="D71" s="93"/>
      <c r="E71" s="93"/>
    </row>
    <row r="72" spans="2:5" x14ac:dyDescent="0.2">
      <c r="B72" s="93"/>
      <c r="D72" s="93"/>
      <c r="E72" s="93"/>
    </row>
    <row r="73" spans="2:5" x14ac:dyDescent="0.2">
      <c r="B73" s="93"/>
      <c r="D73" s="93"/>
      <c r="E73" s="93"/>
    </row>
    <row r="74" spans="2:5" x14ac:dyDescent="0.2">
      <c r="B74" s="93"/>
      <c r="D74" s="93"/>
      <c r="E74" s="93"/>
    </row>
    <row r="75" spans="2:5" x14ac:dyDescent="0.2">
      <c r="B75" s="93"/>
      <c r="D75" s="93"/>
      <c r="E75" s="93"/>
    </row>
    <row r="76" spans="2:5" x14ac:dyDescent="0.2">
      <c r="B76" s="93"/>
      <c r="D76" s="93"/>
      <c r="E76" s="93"/>
    </row>
    <row r="77" spans="2:5" x14ac:dyDescent="0.2">
      <c r="B77" s="93"/>
      <c r="D77" s="93"/>
      <c r="E77" s="93"/>
    </row>
    <row r="78" spans="2:5" x14ac:dyDescent="0.2">
      <c r="B78" s="93"/>
      <c r="D78" s="93"/>
      <c r="E78" s="93"/>
    </row>
    <row r="79" spans="2:5" x14ac:dyDescent="0.2">
      <c r="B79" s="93"/>
      <c r="D79" s="93"/>
      <c r="E79" s="93"/>
    </row>
    <row r="80" spans="2:5" x14ac:dyDescent="0.2">
      <c r="B80" s="93"/>
      <c r="D80" s="93"/>
      <c r="E80" s="93"/>
    </row>
    <row r="81" spans="2:5" x14ac:dyDescent="0.2">
      <c r="B81" s="93"/>
      <c r="D81" s="93"/>
      <c r="E81" s="93"/>
    </row>
    <row r="82" spans="2:5" x14ac:dyDescent="0.2">
      <c r="B82" s="93"/>
      <c r="D82" s="93"/>
      <c r="E82" s="93"/>
    </row>
    <row r="83" spans="2:5" x14ac:dyDescent="0.2">
      <c r="B83" s="93"/>
      <c r="D83" s="93"/>
      <c r="E83" s="93"/>
    </row>
    <row r="84" spans="2:5" x14ac:dyDescent="0.2">
      <c r="B84" s="93"/>
      <c r="D84" s="93"/>
      <c r="E84" s="93"/>
    </row>
    <row r="85" spans="2:5" x14ac:dyDescent="0.2">
      <c r="B85" s="93"/>
      <c r="D85" s="93"/>
      <c r="E85" s="93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C53D-7BEE-42CB-AE55-980FA38CCC1C}">
  <dimension ref="A1:IC121"/>
  <sheetViews>
    <sheetView zoomScale="120" zoomScaleNormal="120" workbookViewId="0">
      <pane ySplit="1" topLeftCell="A107" activePane="bottomLeft" state="frozen"/>
      <selection pane="bottomLeft" activeCell="H120" sqref="H120"/>
    </sheetView>
  </sheetViews>
  <sheetFormatPr defaultColWidth="9.28515625" defaultRowHeight="12.75" x14ac:dyDescent="0.2"/>
  <cols>
    <col min="1" max="1" width="9.28515625" style="91"/>
    <col min="2" max="2" width="11.28515625" style="134" bestFit="1" customWidth="1"/>
    <col min="3" max="3" width="11.28515625" style="91" bestFit="1" customWidth="1"/>
    <col min="4" max="4" width="12.85546875" style="134" bestFit="1" customWidth="1"/>
    <col min="5" max="5" width="13.42578125" style="91" customWidth="1"/>
    <col min="6" max="6" width="17.28515625" style="91" customWidth="1"/>
    <col min="7" max="7" width="16.42578125" style="91" customWidth="1"/>
    <col min="8" max="9" width="9.28515625" style="91"/>
    <col min="10" max="10" width="12" style="91" customWidth="1"/>
    <col min="11" max="11" width="13" style="91" customWidth="1"/>
    <col min="12" max="12" width="12.7109375" style="91" customWidth="1"/>
    <col min="13" max="13" width="24.28515625" style="91" customWidth="1"/>
    <col min="14" max="14" width="26.42578125" style="91" customWidth="1"/>
    <col min="15" max="15" width="11.7109375" style="91" customWidth="1"/>
    <col min="16" max="16" width="16.28515625" style="91" customWidth="1"/>
    <col min="17" max="16384" width="9.28515625" style="91"/>
  </cols>
  <sheetData>
    <row r="1" spans="1:237" s="111" customFormat="1" ht="25.5" x14ac:dyDescent="0.2">
      <c r="A1" s="111" t="s">
        <v>16</v>
      </c>
      <c r="B1" s="92" t="s">
        <v>128</v>
      </c>
      <c r="C1" s="112" t="s">
        <v>127</v>
      </c>
      <c r="D1" s="92" t="s">
        <v>129</v>
      </c>
      <c r="E1" s="92" t="s">
        <v>130</v>
      </c>
      <c r="F1" s="92" t="s">
        <v>131</v>
      </c>
      <c r="G1" s="92" t="s">
        <v>132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3"/>
      <c r="EQ1" s="113"/>
      <c r="ER1" s="113"/>
      <c r="ES1" s="113"/>
      <c r="ET1" s="113"/>
      <c r="EU1" s="113"/>
      <c r="EV1" s="113"/>
      <c r="EW1" s="113"/>
      <c r="EX1" s="113"/>
      <c r="EY1" s="113"/>
      <c r="EZ1" s="113"/>
      <c r="FA1" s="113"/>
      <c r="FB1" s="113"/>
      <c r="FC1" s="113"/>
      <c r="FD1" s="113"/>
      <c r="FE1" s="113"/>
      <c r="FF1" s="113"/>
      <c r="FG1" s="113"/>
      <c r="FH1" s="113"/>
      <c r="FI1" s="113"/>
      <c r="FJ1" s="113"/>
      <c r="FK1" s="113"/>
      <c r="FL1" s="113"/>
      <c r="FM1" s="113"/>
      <c r="FN1" s="113"/>
      <c r="FO1" s="113"/>
      <c r="FP1" s="113"/>
      <c r="FQ1" s="113"/>
      <c r="FR1" s="113"/>
      <c r="FS1" s="113"/>
      <c r="FT1" s="113"/>
      <c r="FU1" s="113"/>
      <c r="FV1" s="113"/>
      <c r="FW1" s="113"/>
      <c r="FX1" s="113"/>
      <c r="FY1" s="113"/>
      <c r="FZ1" s="113"/>
      <c r="GA1" s="113"/>
      <c r="GB1" s="113"/>
      <c r="GC1" s="113"/>
      <c r="GD1" s="113"/>
      <c r="GE1" s="113"/>
      <c r="GF1" s="113"/>
      <c r="GG1" s="113"/>
      <c r="GH1" s="113"/>
      <c r="GI1" s="113"/>
      <c r="GJ1" s="113"/>
      <c r="GK1" s="113"/>
      <c r="GL1" s="113"/>
      <c r="GM1" s="113"/>
      <c r="GN1" s="113"/>
      <c r="GO1" s="113"/>
      <c r="GP1" s="113"/>
      <c r="GQ1" s="113"/>
      <c r="GR1" s="113"/>
      <c r="GS1" s="113"/>
      <c r="GT1" s="113"/>
      <c r="GU1" s="113"/>
      <c r="GV1" s="113"/>
      <c r="GW1" s="113"/>
      <c r="GX1" s="113"/>
      <c r="GY1" s="113"/>
      <c r="GZ1" s="113"/>
      <c r="HA1" s="113"/>
      <c r="HB1" s="113"/>
      <c r="HC1" s="113"/>
      <c r="HD1" s="113"/>
      <c r="HE1" s="113"/>
      <c r="HF1" s="113"/>
      <c r="HG1" s="113"/>
      <c r="HH1" s="113"/>
      <c r="HI1" s="113"/>
      <c r="HJ1" s="113"/>
      <c r="HK1" s="113"/>
      <c r="HL1" s="113"/>
      <c r="HM1" s="113"/>
      <c r="HN1" s="113"/>
      <c r="HO1" s="113"/>
      <c r="HP1" s="113"/>
      <c r="HQ1" s="113"/>
      <c r="HR1" s="113"/>
      <c r="HS1" s="113"/>
      <c r="HT1" s="113"/>
      <c r="HU1" s="113"/>
      <c r="HV1" s="113"/>
      <c r="HW1" s="113"/>
      <c r="HX1" s="113"/>
      <c r="HY1" s="113"/>
      <c r="HZ1" s="113"/>
      <c r="IA1" s="113"/>
      <c r="IB1" s="113"/>
      <c r="IC1" s="113"/>
    </row>
    <row r="2" spans="1:237" x14ac:dyDescent="0.2">
      <c r="A2" s="91" t="s">
        <v>286</v>
      </c>
      <c r="B2" s="104">
        <v>45600</v>
      </c>
      <c r="C2" s="104">
        <v>76</v>
      </c>
      <c r="D2" s="104">
        <v>676</v>
      </c>
      <c r="E2" s="104">
        <v>9400</v>
      </c>
      <c r="F2" s="104">
        <v>83</v>
      </c>
      <c r="G2" s="84"/>
      <c r="I2" s="91" t="s">
        <v>414</v>
      </c>
    </row>
    <row r="3" spans="1:237" x14ac:dyDescent="0.2">
      <c r="A3" s="91" t="s">
        <v>287</v>
      </c>
      <c r="B3" s="104">
        <v>43700</v>
      </c>
      <c r="C3" s="104">
        <v>75</v>
      </c>
      <c r="D3" s="104">
        <v>616</v>
      </c>
      <c r="E3" s="104">
        <v>5600</v>
      </c>
      <c r="F3" s="104">
        <v>76</v>
      </c>
      <c r="G3" s="84"/>
      <c r="I3" s="91" t="s">
        <v>415</v>
      </c>
    </row>
    <row r="4" spans="1:237" x14ac:dyDescent="0.2">
      <c r="A4" s="91" t="s">
        <v>288</v>
      </c>
      <c r="B4" s="104">
        <v>50700</v>
      </c>
      <c r="C4" s="104">
        <v>72</v>
      </c>
      <c r="D4" s="104">
        <v>687</v>
      </c>
      <c r="E4" s="104">
        <v>6400</v>
      </c>
      <c r="F4" s="104">
        <v>80</v>
      </c>
      <c r="G4" s="84"/>
    </row>
    <row r="5" spans="1:237" x14ac:dyDescent="0.2">
      <c r="A5" s="91" t="s">
        <v>289</v>
      </c>
      <c r="B5" s="104">
        <v>53700</v>
      </c>
      <c r="C5" s="104">
        <v>71</v>
      </c>
      <c r="D5" s="104">
        <v>682</v>
      </c>
      <c r="E5" s="104">
        <v>10600</v>
      </c>
      <c r="F5" s="104">
        <v>81</v>
      </c>
      <c r="G5" s="84"/>
    </row>
    <row r="6" spans="1:237" x14ac:dyDescent="0.2">
      <c r="A6" s="91" t="s">
        <v>290</v>
      </c>
      <c r="B6" s="104">
        <v>43200</v>
      </c>
      <c r="C6" s="104">
        <v>70</v>
      </c>
      <c r="D6" s="104">
        <v>693</v>
      </c>
      <c r="E6" s="104">
        <v>14200</v>
      </c>
      <c r="F6" s="104">
        <v>90</v>
      </c>
      <c r="G6" s="84"/>
    </row>
    <row r="7" spans="1:237" x14ac:dyDescent="0.2">
      <c r="A7" s="91" t="s">
        <v>291</v>
      </c>
      <c r="B7" s="104">
        <v>38400</v>
      </c>
      <c r="C7" s="104">
        <v>72</v>
      </c>
      <c r="D7" s="104">
        <v>760</v>
      </c>
      <c r="E7" s="104">
        <v>9500</v>
      </c>
      <c r="F7" s="104">
        <v>76</v>
      </c>
      <c r="G7" s="84"/>
    </row>
    <row r="8" spans="1:237" x14ac:dyDescent="0.2">
      <c r="A8" s="91" t="s">
        <v>292</v>
      </c>
      <c r="B8" s="104">
        <v>44200</v>
      </c>
      <c r="C8" s="104">
        <v>77</v>
      </c>
      <c r="D8" s="104">
        <v>715</v>
      </c>
      <c r="E8" s="104">
        <v>9200</v>
      </c>
      <c r="F8" s="104">
        <v>84</v>
      </c>
      <c r="G8" s="84"/>
    </row>
    <row r="9" spans="1:237" x14ac:dyDescent="0.2">
      <c r="A9" s="91" t="s">
        <v>293</v>
      </c>
      <c r="B9" s="104">
        <v>51400</v>
      </c>
      <c r="C9" s="104">
        <v>73</v>
      </c>
      <c r="D9" s="104">
        <v>729</v>
      </c>
      <c r="E9" s="104">
        <v>7400</v>
      </c>
      <c r="F9" s="104">
        <v>74</v>
      </c>
      <c r="G9" s="84"/>
    </row>
    <row r="10" spans="1:237" x14ac:dyDescent="0.2">
      <c r="A10" s="91" t="s">
        <v>294</v>
      </c>
      <c r="B10" s="104">
        <v>55200</v>
      </c>
      <c r="C10" s="104">
        <v>72</v>
      </c>
      <c r="D10" s="104">
        <v>712</v>
      </c>
      <c r="E10" s="104">
        <v>9800</v>
      </c>
      <c r="F10" s="104">
        <v>86</v>
      </c>
      <c r="G10" s="84"/>
    </row>
    <row r="11" spans="1:237" x14ac:dyDescent="0.2">
      <c r="A11" s="91" t="s">
        <v>295</v>
      </c>
      <c r="B11" s="104">
        <v>45200</v>
      </c>
      <c r="C11" s="104">
        <v>76</v>
      </c>
      <c r="D11" s="104">
        <v>741</v>
      </c>
      <c r="E11" s="104">
        <v>7300</v>
      </c>
      <c r="F11" s="104">
        <v>81</v>
      </c>
      <c r="G11" s="84"/>
    </row>
    <row r="12" spans="1:237" x14ac:dyDescent="0.2">
      <c r="A12" s="91" t="s">
        <v>296</v>
      </c>
      <c r="B12" s="104">
        <v>55000</v>
      </c>
      <c r="C12" s="104">
        <v>70</v>
      </c>
      <c r="D12" s="104">
        <v>721</v>
      </c>
      <c r="E12" s="104">
        <v>6900</v>
      </c>
      <c r="F12" s="104">
        <v>82</v>
      </c>
      <c r="G12" s="84"/>
    </row>
    <row r="13" spans="1:237" x14ac:dyDescent="0.2">
      <c r="A13" s="91" t="s">
        <v>297</v>
      </c>
      <c r="B13" s="104">
        <v>60900</v>
      </c>
      <c r="C13" s="104">
        <v>72</v>
      </c>
      <c r="D13" s="104">
        <v>719</v>
      </c>
      <c r="E13" s="104">
        <v>9800</v>
      </c>
      <c r="F13" s="104">
        <v>72</v>
      </c>
      <c r="G13" s="84"/>
    </row>
    <row r="14" spans="1:237" x14ac:dyDescent="0.2">
      <c r="A14" s="91" t="s">
        <v>298</v>
      </c>
      <c r="B14" s="104">
        <v>48800</v>
      </c>
      <c r="C14" s="104">
        <v>73</v>
      </c>
      <c r="D14" s="104">
        <v>764</v>
      </c>
      <c r="E14" s="104">
        <v>10400</v>
      </c>
      <c r="F14" s="104">
        <v>81</v>
      </c>
      <c r="G14" s="84"/>
    </row>
    <row r="15" spans="1:237" x14ac:dyDescent="0.2">
      <c r="A15" s="91" t="s">
        <v>299</v>
      </c>
      <c r="B15" s="104">
        <v>46700</v>
      </c>
      <c r="C15" s="104">
        <v>71</v>
      </c>
      <c r="D15" s="104">
        <v>762</v>
      </c>
      <c r="E15" s="104">
        <v>6000</v>
      </c>
      <c r="F15" s="104">
        <v>87</v>
      </c>
      <c r="G15" s="84"/>
    </row>
    <row r="16" spans="1:237" x14ac:dyDescent="0.2">
      <c r="A16" s="91" t="s">
        <v>300</v>
      </c>
      <c r="B16" s="104">
        <v>55700</v>
      </c>
      <c r="C16" s="104">
        <v>71</v>
      </c>
      <c r="D16" s="104">
        <v>838</v>
      </c>
      <c r="E16" s="104">
        <v>8500</v>
      </c>
      <c r="F16" s="104">
        <v>76</v>
      </c>
      <c r="G16" s="84"/>
    </row>
    <row r="17" spans="1:7" x14ac:dyDescent="0.2">
      <c r="A17" s="91" t="s">
        <v>301</v>
      </c>
      <c r="B17" s="104">
        <v>65200</v>
      </c>
      <c r="C17" s="104">
        <v>72</v>
      </c>
      <c r="D17" s="104">
        <v>776</v>
      </c>
      <c r="E17" s="104">
        <v>10500</v>
      </c>
      <c r="F17" s="104">
        <v>75</v>
      </c>
      <c r="G17" s="84"/>
    </row>
    <row r="18" spans="1:7" x14ac:dyDescent="0.2">
      <c r="A18" s="91" t="s">
        <v>302</v>
      </c>
      <c r="B18" s="104">
        <v>58300</v>
      </c>
      <c r="C18" s="104">
        <v>73</v>
      </c>
      <c r="D18" s="104">
        <v>789</v>
      </c>
      <c r="E18" s="104">
        <v>9200</v>
      </c>
      <c r="F18" s="104">
        <v>78</v>
      </c>
      <c r="G18" s="84"/>
    </row>
    <row r="19" spans="1:7" x14ac:dyDescent="0.2">
      <c r="A19" s="91" t="s">
        <v>303</v>
      </c>
      <c r="B19" s="104">
        <v>49700</v>
      </c>
      <c r="C19" s="104">
        <v>73</v>
      </c>
      <c r="D19" s="104">
        <v>797</v>
      </c>
      <c r="E19" s="104">
        <v>8100</v>
      </c>
      <c r="F19" s="104">
        <v>77</v>
      </c>
      <c r="G19" s="84"/>
    </row>
    <row r="20" spans="1:7" x14ac:dyDescent="0.2">
      <c r="A20" s="91" t="s">
        <v>304</v>
      </c>
      <c r="B20" s="104">
        <v>56700</v>
      </c>
      <c r="C20" s="104">
        <v>73</v>
      </c>
      <c r="D20" s="104">
        <v>872</v>
      </c>
      <c r="E20" s="104">
        <v>8400</v>
      </c>
      <c r="F20" s="104">
        <v>83</v>
      </c>
      <c r="G20" s="84"/>
    </row>
    <row r="21" spans="1:7" x14ac:dyDescent="0.2">
      <c r="A21" s="91" t="s">
        <v>305</v>
      </c>
      <c r="B21" s="104">
        <v>65700</v>
      </c>
      <c r="C21" s="104">
        <v>73</v>
      </c>
      <c r="D21" s="104">
        <v>840</v>
      </c>
      <c r="E21" s="104">
        <v>9700</v>
      </c>
      <c r="F21" s="104">
        <v>74</v>
      </c>
      <c r="G21" s="84"/>
    </row>
    <row r="22" spans="1:7" x14ac:dyDescent="0.2">
      <c r="A22" s="91" t="s">
        <v>306</v>
      </c>
      <c r="B22" s="104">
        <v>54100</v>
      </c>
      <c r="C22" s="104">
        <v>67</v>
      </c>
      <c r="D22" s="104">
        <v>864</v>
      </c>
      <c r="E22" s="104">
        <v>9900</v>
      </c>
      <c r="F22" s="104">
        <v>77</v>
      </c>
      <c r="G22" s="84"/>
    </row>
    <row r="23" spans="1:7" x14ac:dyDescent="0.2">
      <c r="A23" s="91" t="s">
        <v>307</v>
      </c>
      <c r="B23" s="104">
        <v>43000</v>
      </c>
      <c r="C23" s="104">
        <v>65</v>
      </c>
      <c r="D23" s="104">
        <v>890</v>
      </c>
      <c r="E23" s="104">
        <v>11000</v>
      </c>
      <c r="F23" s="104">
        <v>74</v>
      </c>
      <c r="G23" s="84"/>
    </row>
    <row r="24" spans="1:7" x14ac:dyDescent="0.2">
      <c r="A24" s="91" t="s">
        <v>308</v>
      </c>
      <c r="B24" s="104">
        <v>46100</v>
      </c>
      <c r="C24" s="104">
        <v>65</v>
      </c>
      <c r="D24" s="104">
        <v>872</v>
      </c>
      <c r="E24" s="104">
        <v>10700</v>
      </c>
      <c r="F24" s="104">
        <v>72</v>
      </c>
      <c r="G24" s="84"/>
    </row>
    <row r="25" spans="1:7" x14ac:dyDescent="0.2">
      <c r="A25" s="91" t="s">
        <v>309</v>
      </c>
      <c r="B25" s="104">
        <v>56500</v>
      </c>
      <c r="C25" s="104">
        <v>64</v>
      </c>
      <c r="D25" s="104">
        <v>900</v>
      </c>
      <c r="E25" s="104">
        <v>1200</v>
      </c>
      <c r="F25" s="104">
        <v>73</v>
      </c>
      <c r="G25" s="84"/>
    </row>
    <row r="26" spans="1:7" x14ac:dyDescent="0.2">
      <c r="A26" s="91" t="s">
        <v>310</v>
      </c>
      <c r="B26" s="104">
        <v>47300</v>
      </c>
      <c r="C26" s="104">
        <v>58</v>
      </c>
      <c r="D26" s="104">
        <v>862</v>
      </c>
      <c r="E26" s="104">
        <v>11900</v>
      </c>
      <c r="F26" s="104">
        <v>73</v>
      </c>
      <c r="G26" s="84"/>
    </row>
    <row r="27" spans="1:7" x14ac:dyDescent="0.2">
      <c r="A27" s="91" t="s">
        <v>311</v>
      </c>
      <c r="B27" s="104">
        <v>37900</v>
      </c>
      <c r="C27" s="104">
        <v>60</v>
      </c>
      <c r="D27" s="104">
        <v>904</v>
      </c>
      <c r="E27" s="104">
        <v>6100</v>
      </c>
      <c r="F27" s="104">
        <v>72</v>
      </c>
      <c r="G27" s="84"/>
    </row>
    <row r="28" spans="1:7" x14ac:dyDescent="0.2">
      <c r="A28" s="91" t="s">
        <v>312</v>
      </c>
      <c r="B28" s="104">
        <v>56800</v>
      </c>
      <c r="C28" s="104">
        <v>62</v>
      </c>
      <c r="D28" s="104">
        <v>942</v>
      </c>
      <c r="E28" s="104">
        <v>8000</v>
      </c>
      <c r="F28" s="104">
        <v>86</v>
      </c>
      <c r="G28" s="84"/>
    </row>
    <row r="29" spans="1:7" x14ac:dyDescent="0.2">
      <c r="A29" s="91" t="s">
        <v>313</v>
      </c>
      <c r="B29" s="104">
        <v>61700</v>
      </c>
      <c r="C29" s="104">
        <v>56</v>
      </c>
      <c r="D29" s="104">
        <v>898</v>
      </c>
      <c r="E29" s="104">
        <v>11300</v>
      </c>
      <c r="F29" s="104">
        <v>71</v>
      </c>
      <c r="G29" s="84"/>
    </row>
    <row r="30" spans="1:7" x14ac:dyDescent="0.2">
      <c r="A30" s="91" t="s">
        <v>314</v>
      </c>
      <c r="B30" s="104">
        <v>47700</v>
      </c>
      <c r="C30" s="104">
        <v>57</v>
      </c>
      <c r="D30" s="104">
        <v>928</v>
      </c>
      <c r="E30" s="104">
        <v>12000</v>
      </c>
      <c r="F30" s="104">
        <v>67</v>
      </c>
      <c r="G30" s="84"/>
    </row>
    <row r="31" spans="1:7" x14ac:dyDescent="0.2">
      <c r="A31" s="91" t="s">
        <v>315</v>
      </c>
      <c r="B31" s="104">
        <v>37600</v>
      </c>
      <c r="C31" s="104">
        <v>62</v>
      </c>
      <c r="D31" s="104">
        <v>913</v>
      </c>
      <c r="E31" s="104">
        <v>11100</v>
      </c>
      <c r="F31" s="104">
        <v>69</v>
      </c>
      <c r="G31" s="84"/>
    </row>
    <row r="32" spans="1:7" x14ac:dyDescent="0.2">
      <c r="A32" s="91" t="s">
        <v>316</v>
      </c>
      <c r="B32" s="104">
        <v>47600</v>
      </c>
      <c r="C32" s="104">
        <v>61</v>
      </c>
      <c r="D32" s="104">
        <v>956</v>
      </c>
      <c r="E32" s="104">
        <v>10900</v>
      </c>
      <c r="F32" s="104">
        <v>76</v>
      </c>
      <c r="G32" s="84"/>
    </row>
    <row r="33" spans="1:7" x14ac:dyDescent="0.2">
      <c r="A33" s="91" t="s">
        <v>317</v>
      </c>
      <c r="B33" s="104">
        <v>42500</v>
      </c>
      <c r="C33" s="104">
        <v>56</v>
      </c>
      <c r="D33" s="104">
        <v>925</v>
      </c>
      <c r="E33" s="104">
        <v>9800</v>
      </c>
      <c r="F33" s="104">
        <v>75</v>
      </c>
      <c r="G33" s="84"/>
    </row>
    <row r="34" spans="1:7" x14ac:dyDescent="0.2">
      <c r="A34" s="91" t="s">
        <v>318</v>
      </c>
      <c r="B34" s="104">
        <v>38800</v>
      </c>
      <c r="C34" s="104">
        <v>63</v>
      </c>
      <c r="D34" s="104">
        <v>935</v>
      </c>
      <c r="E34" s="104">
        <v>9300</v>
      </c>
      <c r="F34" s="104">
        <v>76</v>
      </c>
      <c r="G34" s="84"/>
    </row>
    <row r="35" spans="1:7" x14ac:dyDescent="0.2">
      <c r="A35" s="91" t="s">
        <v>319</v>
      </c>
      <c r="B35" s="104">
        <v>34000</v>
      </c>
      <c r="C35" s="104">
        <v>61</v>
      </c>
      <c r="D35" s="104">
        <v>950</v>
      </c>
      <c r="E35" s="104">
        <v>8900</v>
      </c>
      <c r="F35" s="104">
        <v>78</v>
      </c>
      <c r="G35" s="84"/>
    </row>
    <row r="36" spans="1:7" x14ac:dyDescent="0.2">
      <c r="A36" s="91" t="s">
        <v>320</v>
      </c>
      <c r="B36" s="104">
        <v>42500</v>
      </c>
      <c r="C36" s="104">
        <v>59</v>
      </c>
      <c r="D36" s="104">
        <v>1021</v>
      </c>
      <c r="E36" s="104">
        <v>20700</v>
      </c>
      <c r="F36" s="104">
        <v>75</v>
      </c>
      <c r="G36" s="84"/>
    </row>
    <row r="37" spans="1:7" x14ac:dyDescent="0.2">
      <c r="A37" s="91" t="s">
        <v>321</v>
      </c>
      <c r="B37" s="104">
        <v>44700</v>
      </c>
      <c r="C37" s="104">
        <v>64</v>
      </c>
      <c r="D37" s="104">
        <v>962</v>
      </c>
      <c r="E37" s="104">
        <v>17800</v>
      </c>
      <c r="F37" s="104">
        <v>66</v>
      </c>
      <c r="G37" s="84"/>
    </row>
    <row r="38" spans="1:7" x14ac:dyDescent="0.2">
      <c r="A38" s="91" t="s">
        <v>322</v>
      </c>
      <c r="B38" s="104">
        <v>32500</v>
      </c>
      <c r="C38" s="104">
        <v>63</v>
      </c>
      <c r="D38" s="104">
        <v>975</v>
      </c>
      <c r="E38" s="104">
        <v>14000</v>
      </c>
      <c r="F38" s="104">
        <v>75</v>
      </c>
      <c r="G38" s="84"/>
    </row>
    <row r="39" spans="1:7" x14ac:dyDescent="0.2">
      <c r="A39" s="91" t="s">
        <v>323</v>
      </c>
      <c r="B39" s="104">
        <v>26100</v>
      </c>
      <c r="C39" s="104">
        <v>61</v>
      </c>
      <c r="D39" s="104">
        <v>949</v>
      </c>
      <c r="E39" s="104">
        <v>13200</v>
      </c>
      <c r="F39" s="104">
        <v>75</v>
      </c>
      <c r="G39" s="84"/>
    </row>
    <row r="40" spans="1:7" x14ac:dyDescent="0.2">
      <c r="A40" s="91" t="s">
        <v>324</v>
      </c>
      <c r="B40" s="104">
        <v>30800</v>
      </c>
      <c r="C40" s="104">
        <v>65</v>
      </c>
      <c r="D40" s="104">
        <v>930</v>
      </c>
      <c r="E40" s="104">
        <v>26200</v>
      </c>
      <c r="F40" s="104">
        <v>79</v>
      </c>
      <c r="G40" s="84"/>
    </row>
    <row r="41" spans="1:7" x14ac:dyDescent="0.2">
      <c r="A41" s="91" t="s">
        <v>325</v>
      </c>
      <c r="B41" s="104">
        <v>30500</v>
      </c>
      <c r="C41" s="104">
        <v>63</v>
      </c>
      <c r="D41" s="104">
        <v>911</v>
      </c>
      <c r="E41" s="104">
        <v>19300</v>
      </c>
      <c r="F41" s="104">
        <v>79</v>
      </c>
      <c r="G41" s="84"/>
    </row>
    <row r="42" spans="1:7" x14ac:dyDescent="0.2">
      <c r="A42" s="91" t="s">
        <v>326</v>
      </c>
      <c r="B42" s="104">
        <v>25600</v>
      </c>
      <c r="C42" s="104">
        <v>63</v>
      </c>
      <c r="D42" s="104">
        <v>984</v>
      </c>
      <c r="E42" s="104">
        <v>23100</v>
      </c>
      <c r="F42" s="104">
        <v>71</v>
      </c>
      <c r="G42" s="84"/>
    </row>
    <row r="43" spans="1:7" x14ac:dyDescent="0.2">
      <c r="A43" s="91" t="s">
        <v>327</v>
      </c>
      <c r="B43" s="104">
        <v>21600</v>
      </c>
      <c r="C43" s="104">
        <v>62</v>
      </c>
      <c r="D43" s="104">
        <v>1013</v>
      </c>
      <c r="E43" s="104">
        <v>24900</v>
      </c>
      <c r="F43" s="104">
        <v>64</v>
      </c>
      <c r="G43" s="84"/>
    </row>
    <row r="44" spans="1:7" x14ac:dyDescent="0.2">
      <c r="A44" s="91" t="s">
        <v>328</v>
      </c>
      <c r="B44" s="104">
        <v>28600</v>
      </c>
      <c r="C44" s="104">
        <v>61</v>
      </c>
      <c r="D44" s="104">
        <v>985</v>
      </c>
      <c r="E44" s="104">
        <v>26800</v>
      </c>
      <c r="F44" s="104">
        <v>66</v>
      </c>
      <c r="G44" s="84"/>
    </row>
    <row r="45" spans="1:7" x14ac:dyDescent="0.2">
      <c r="A45" s="91" t="s">
        <v>329</v>
      </c>
      <c r="B45" s="104">
        <v>33800</v>
      </c>
      <c r="C45" s="104">
        <v>52</v>
      </c>
      <c r="D45" s="104">
        <v>1077</v>
      </c>
      <c r="E45" s="104">
        <v>22300</v>
      </c>
      <c r="F45" s="104">
        <v>68</v>
      </c>
      <c r="G45" s="84"/>
    </row>
    <row r="46" spans="1:7" x14ac:dyDescent="0.2">
      <c r="A46" s="91" t="s">
        <v>330</v>
      </c>
      <c r="B46" s="104">
        <v>32300</v>
      </c>
      <c r="C46" s="104">
        <v>54</v>
      </c>
      <c r="D46" s="104">
        <v>1034</v>
      </c>
      <c r="E46" s="104">
        <v>30700</v>
      </c>
      <c r="F46" s="104">
        <v>66</v>
      </c>
      <c r="G46" s="84"/>
    </row>
    <row r="47" spans="1:7" x14ac:dyDescent="0.2">
      <c r="A47" s="91" t="s">
        <v>331</v>
      </c>
      <c r="B47" s="104">
        <v>28200</v>
      </c>
      <c r="C47" s="104">
        <v>51</v>
      </c>
      <c r="D47" s="104">
        <v>957</v>
      </c>
      <c r="E47" s="104">
        <v>21100</v>
      </c>
      <c r="F47" s="104">
        <v>60</v>
      </c>
      <c r="G47" s="84"/>
    </row>
    <row r="48" spans="1:7" x14ac:dyDescent="0.2">
      <c r="A48" s="91" t="s">
        <v>332</v>
      </c>
      <c r="B48" s="104">
        <v>26500</v>
      </c>
      <c r="C48" s="104">
        <v>53</v>
      </c>
      <c r="D48" s="104">
        <v>1004</v>
      </c>
      <c r="E48" s="104">
        <v>20900</v>
      </c>
      <c r="F48" s="104">
        <v>64</v>
      </c>
      <c r="G48" s="84"/>
    </row>
    <row r="49" spans="1:19" x14ac:dyDescent="0.2">
      <c r="A49" s="91" t="s">
        <v>333</v>
      </c>
      <c r="B49" s="104">
        <v>26100</v>
      </c>
      <c r="C49" s="104">
        <v>55</v>
      </c>
      <c r="D49" s="104">
        <v>1103</v>
      </c>
      <c r="E49" s="104">
        <v>26900</v>
      </c>
      <c r="F49" s="104">
        <v>63</v>
      </c>
      <c r="G49" s="84"/>
    </row>
    <row r="50" spans="1:19" x14ac:dyDescent="0.2">
      <c r="A50" s="91" t="s">
        <v>334</v>
      </c>
      <c r="B50" s="104">
        <v>24000</v>
      </c>
      <c r="C50" s="104">
        <v>57</v>
      </c>
      <c r="D50" s="104">
        <v>1044</v>
      </c>
      <c r="E50" s="104">
        <v>22100</v>
      </c>
      <c r="F50" s="104">
        <v>56</v>
      </c>
      <c r="G50" s="84"/>
    </row>
    <row r="51" spans="1:19" x14ac:dyDescent="0.2">
      <c r="A51" s="91" t="s">
        <v>335</v>
      </c>
      <c r="B51" s="104">
        <v>28500</v>
      </c>
      <c r="C51" s="104">
        <v>53</v>
      </c>
      <c r="D51" s="104">
        <v>1142</v>
      </c>
      <c r="E51" s="104">
        <v>21000</v>
      </c>
      <c r="F51" s="104">
        <v>51</v>
      </c>
      <c r="G51" s="84">
        <v>314100</v>
      </c>
    </row>
    <row r="52" spans="1:19" x14ac:dyDescent="0.2">
      <c r="A52" s="91" t="s">
        <v>336</v>
      </c>
      <c r="B52" s="104">
        <v>37200</v>
      </c>
      <c r="C52" s="104">
        <v>48</v>
      </c>
      <c r="D52" s="104">
        <v>1126</v>
      </c>
      <c r="E52" s="104">
        <v>11800</v>
      </c>
      <c r="F52" s="104">
        <v>49</v>
      </c>
      <c r="G52" s="84">
        <v>379000</v>
      </c>
    </row>
    <row r="53" spans="1:19" x14ac:dyDescent="0.2">
      <c r="A53" s="91" t="s">
        <v>337</v>
      </c>
      <c r="B53" s="104">
        <v>37400</v>
      </c>
      <c r="C53" s="104">
        <v>53</v>
      </c>
      <c r="D53" s="104">
        <v>1039</v>
      </c>
      <c r="E53" s="104">
        <v>19600</v>
      </c>
      <c r="F53" s="104">
        <v>56</v>
      </c>
      <c r="G53" s="84">
        <v>400000</v>
      </c>
    </row>
    <row r="54" spans="1:19" x14ac:dyDescent="0.2">
      <c r="A54" s="91" t="s">
        <v>338</v>
      </c>
      <c r="B54" s="104">
        <v>43400</v>
      </c>
      <c r="C54" s="104">
        <v>45</v>
      </c>
      <c r="D54" s="104">
        <v>1086</v>
      </c>
      <c r="E54" s="104">
        <v>17400</v>
      </c>
      <c r="F54" s="104">
        <v>39</v>
      </c>
      <c r="G54" s="84">
        <v>400000</v>
      </c>
    </row>
    <row r="55" spans="1:19" x14ac:dyDescent="0.2">
      <c r="A55" s="91" t="s">
        <v>339</v>
      </c>
      <c r="B55" s="104">
        <v>28400</v>
      </c>
      <c r="C55" s="104">
        <v>53</v>
      </c>
      <c r="D55" s="104">
        <v>1020</v>
      </c>
      <c r="E55" s="104">
        <v>12400</v>
      </c>
      <c r="F55" s="104">
        <v>42</v>
      </c>
      <c r="G55" s="84">
        <v>400000</v>
      </c>
    </row>
    <row r="56" spans="1:19" x14ac:dyDescent="0.2">
      <c r="A56" s="91" t="s">
        <v>340</v>
      </c>
      <c r="B56" s="104">
        <v>47700</v>
      </c>
      <c r="C56" s="104">
        <v>49</v>
      </c>
      <c r="D56" s="104">
        <v>1154</v>
      </c>
      <c r="E56" s="104">
        <v>9900</v>
      </c>
      <c r="F56" s="104">
        <v>36</v>
      </c>
      <c r="G56" s="84">
        <v>400000</v>
      </c>
      <c r="M56" s="114"/>
      <c r="N56" s="115"/>
      <c r="O56" s="115"/>
      <c r="P56" s="114"/>
      <c r="Q56" s="114"/>
      <c r="R56" s="114"/>
      <c r="S56" s="114"/>
    </row>
    <row r="57" spans="1:19" x14ac:dyDescent="0.2">
      <c r="A57" s="91" t="s">
        <v>341</v>
      </c>
      <c r="B57" s="104">
        <v>47300</v>
      </c>
      <c r="C57" s="104">
        <v>52</v>
      </c>
      <c r="D57" s="104">
        <v>1042</v>
      </c>
      <c r="E57" s="104">
        <v>8800</v>
      </c>
      <c r="F57" s="104">
        <v>46</v>
      </c>
      <c r="G57" s="84">
        <v>400000</v>
      </c>
      <c r="M57" s="114"/>
      <c r="N57" s="116"/>
      <c r="O57" s="115"/>
      <c r="P57" s="114"/>
      <c r="Q57" s="114"/>
      <c r="R57" s="114"/>
      <c r="S57" s="117"/>
    </row>
    <row r="58" spans="1:19" x14ac:dyDescent="0.2">
      <c r="A58" s="91" t="s">
        <v>342</v>
      </c>
      <c r="B58" s="104">
        <v>39500</v>
      </c>
      <c r="C58" s="104">
        <v>49</v>
      </c>
      <c r="D58" s="104">
        <v>1025</v>
      </c>
      <c r="E58" s="104">
        <v>7000</v>
      </c>
      <c r="F58" s="104">
        <v>38</v>
      </c>
      <c r="G58" s="84">
        <v>400000</v>
      </c>
      <c r="M58" s="114"/>
      <c r="N58" s="116"/>
      <c r="O58" s="115"/>
      <c r="P58" s="114"/>
      <c r="Q58" s="114"/>
      <c r="R58" s="114"/>
      <c r="S58" s="117"/>
    </row>
    <row r="59" spans="1:19" x14ac:dyDescent="0.2">
      <c r="A59" s="91" t="s">
        <v>343</v>
      </c>
      <c r="B59" s="104">
        <v>27500</v>
      </c>
      <c r="C59" s="104">
        <v>56</v>
      </c>
      <c r="D59" s="104">
        <v>1050</v>
      </c>
      <c r="E59" s="104">
        <v>3400</v>
      </c>
      <c r="F59" s="104">
        <v>45</v>
      </c>
      <c r="G59" s="84">
        <v>400000</v>
      </c>
      <c r="M59" s="114"/>
      <c r="N59" s="116"/>
      <c r="O59" s="115"/>
      <c r="P59" s="114"/>
      <c r="Q59" s="114"/>
      <c r="R59" s="114"/>
      <c r="S59" s="117"/>
    </row>
    <row r="60" spans="1:19" x14ac:dyDescent="0.2">
      <c r="A60" s="91" t="s">
        <v>344</v>
      </c>
      <c r="B60" s="104">
        <v>30100</v>
      </c>
      <c r="C60" s="104">
        <v>63</v>
      </c>
      <c r="D60" s="104">
        <v>1184</v>
      </c>
      <c r="E60" s="104">
        <v>5700</v>
      </c>
      <c r="F60" s="104">
        <v>39</v>
      </c>
      <c r="G60" s="84">
        <v>400000</v>
      </c>
      <c r="L60" s="118"/>
      <c r="M60" s="196"/>
      <c r="N60" s="196"/>
      <c r="O60" s="196"/>
      <c r="P60" s="196"/>
      <c r="Q60" s="196"/>
      <c r="R60" s="196"/>
      <c r="S60" s="196"/>
    </row>
    <row r="61" spans="1:19" x14ac:dyDescent="0.2">
      <c r="A61" s="91" t="s">
        <v>345</v>
      </c>
      <c r="B61" s="104">
        <v>16700</v>
      </c>
      <c r="C61" s="104">
        <v>63</v>
      </c>
      <c r="D61" s="104">
        <v>1030</v>
      </c>
      <c r="E61" s="104">
        <v>5300</v>
      </c>
      <c r="F61" s="104">
        <v>43</v>
      </c>
      <c r="G61" s="84">
        <v>400000</v>
      </c>
      <c r="L61" s="118"/>
      <c r="M61" s="119"/>
      <c r="N61" s="119"/>
      <c r="O61" s="197"/>
      <c r="P61" s="197"/>
      <c r="Q61" s="197"/>
      <c r="R61" s="118"/>
      <c r="S61" s="118"/>
    </row>
    <row r="62" spans="1:19" x14ac:dyDescent="0.2">
      <c r="A62" s="91" t="s">
        <v>346</v>
      </c>
      <c r="B62" s="104">
        <v>14900</v>
      </c>
      <c r="C62" s="104">
        <v>64</v>
      </c>
      <c r="D62" s="104">
        <v>999</v>
      </c>
      <c r="E62" s="104">
        <v>4300</v>
      </c>
      <c r="F62" s="104">
        <v>44</v>
      </c>
      <c r="G62" s="84">
        <v>400000</v>
      </c>
      <c r="L62" s="118"/>
      <c r="M62" s="119"/>
      <c r="N62" s="119"/>
      <c r="O62" s="118"/>
      <c r="P62" s="118"/>
      <c r="Q62" s="118"/>
      <c r="R62" s="118"/>
      <c r="S62" s="118"/>
    </row>
    <row r="63" spans="1:19" x14ac:dyDescent="0.2">
      <c r="A63" s="91" t="s">
        <v>347</v>
      </c>
      <c r="B63" s="104">
        <v>21800</v>
      </c>
      <c r="C63" s="104">
        <v>56</v>
      </c>
      <c r="D63" s="104">
        <v>1085</v>
      </c>
      <c r="E63" s="104">
        <v>2800</v>
      </c>
      <c r="F63" s="104">
        <v>54</v>
      </c>
      <c r="G63" s="84">
        <v>450000</v>
      </c>
      <c r="L63" s="118"/>
      <c r="M63" s="120"/>
      <c r="N63" s="119"/>
      <c r="O63" s="118"/>
      <c r="P63" s="118"/>
      <c r="Q63" s="118"/>
      <c r="R63" s="121"/>
      <c r="S63" s="118"/>
    </row>
    <row r="64" spans="1:19" x14ac:dyDescent="0.2">
      <c r="A64" s="91" t="s">
        <v>348</v>
      </c>
      <c r="B64" s="104">
        <v>13000</v>
      </c>
      <c r="C64" s="104">
        <v>51</v>
      </c>
      <c r="D64" s="104">
        <v>1037</v>
      </c>
      <c r="E64" s="104">
        <v>2800</v>
      </c>
      <c r="F64" s="104">
        <v>54</v>
      </c>
      <c r="G64" s="84">
        <v>450000</v>
      </c>
      <c r="L64" s="118"/>
      <c r="M64" s="120"/>
      <c r="N64" s="119"/>
      <c r="O64" s="118"/>
      <c r="P64" s="118"/>
      <c r="Q64" s="118"/>
      <c r="R64" s="121"/>
      <c r="S64" s="118"/>
    </row>
    <row r="65" spans="1:19" x14ac:dyDescent="0.2">
      <c r="A65" s="91" t="s">
        <v>349</v>
      </c>
      <c r="B65" s="104">
        <v>24600</v>
      </c>
      <c r="C65" s="104">
        <v>68</v>
      </c>
      <c r="D65" s="104">
        <v>1078</v>
      </c>
      <c r="E65" s="104">
        <v>2300</v>
      </c>
      <c r="F65" s="104">
        <v>79</v>
      </c>
      <c r="G65" s="84">
        <v>450000</v>
      </c>
      <c r="L65" s="118"/>
      <c r="M65" s="120"/>
      <c r="N65" s="119"/>
      <c r="O65" s="118"/>
      <c r="P65" s="118"/>
      <c r="Q65" s="118"/>
      <c r="R65" s="121"/>
      <c r="S65" s="118"/>
    </row>
    <row r="66" spans="1:19" x14ac:dyDescent="0.2">
      <c r="A66" s="91" t="s">
        <v>350</v>
      </c>
      <c r="B66" s="104">
        <v>15300</v>
      </c>
      <c r="C66" s="104">
        <v>55</v>
      </c>
      <c r="D66" s="104">
        <v>1125</v>
      </c>
      <c r="E66" s="104">
        <v>3400</v>
      </c>
      <c r="F66" s="104">
        <v>45</v>
      </c>
      <c r="G66" s="84">
        <v>450000</v>
      </c>
      <c r="L66" s="118"/>
      <c r="M66" s="120"/>
      <c r="N66" s="119"/>
      <c r="O66" s="118"/>
      <c r="P66" s="118"/>
      <c r="Q66" s="118"/>
      <c r="R66" s="121"/>
      <c r="S66" s="118"/>
    </row>
    <row r="67" spans="1:19" x14ac:dyDescent="0.2">
      <c r="A67" s="91" t="s">
        <v>351</v>
      </c>
      <c r="B67" s="104">
        <v>15900</v>
      </c>
      <c r="C67" s="104">
        <v>61</v>
      </c>
      <c r="D67" s="104">
        <v>1065</v>
      </c>
      <c r="E67" s="104">
        <v>1800</v>
      </c>
      <c r="F67" s="104">
        <v>64</v>
      </c>
      <c r="G67" s="84">
        <v>359700</v>
      </c>
      <c r="L67" s="118"/>
      <c r="M67" s="120"/>
      <c r="N67" s="119"/>
      <c r="O67" s="118"/>
      <c r="P67" s="118"/>
      <c r="Q67" s="118"/>
      <c r="R67" s="121"/>
      <c r="S67" s="118"/>
    </row>
    <row r="68" spans="1:19" x14ac:dyDescent="0.2">
      <c r="A68" s="91" t="s">
        <v>352</v>
      </c>
      <c r="B68" s="104">
        <v>27100</v>
      </c>
      <c r="C68" s="104">
        <v>67</v>
      </c>
      <c r="D68" s="104">
        <v>1033</v>
      </c>
      <c r="E68" s="104">
        <v>1100</v>
      </c>
      <c r="F68" s="104">
        <v>66</v>
      </c>
      <c r="G68" s="84">
        <v>397800</v>
      </c>
      <c r="L68" s="118"/>
      <c r="M68" s="120"/>
      <c r="N68" s="119"/>
      <c r="O68" s="118"/>
      <c r="P68" s="118"/>
      <c r="Q68" s="118"/>
      <c r="R68" s="118"/>
      <c r="S68" s="118"/>
    </row>
    <row r="69" spans="1:19" x14ac:dyDescent="0.2">
      <c r="A69" s="91" t="s">
        <v>353</v>
      </c>
      <c r="B69" s="104">
        <v>30400</v>
      </c>
      <c r="C69" s="104">
        <v>63</v>
      </c>
      <c r="D69" s="104">
        <v>1168</v>
      </c>
      <c r="E69" s="104">
        <v>1700</v>
      </c>
      <c r="F69" s="104">
        <v>58</v>
      </c>
      <c r="G69" s="84">
        <v>416800</v>
      </c>
      <c r="I69" s="122"/>
      <c r="L69" s="118"/>
      <c r="M69" s="120"/>
      <c r="N69" s="119"/>
      <c r="O69" s="118"/>
      <c r="P69" s="118"/>
      <c r="Q69" s="118"/>
      <c r="R69" s="118"/>
      <c r="S69" s="118"/>
    </row>
    <row r="70" spans="1:19" x14ac:dyDescent="0.2">
      <c r="A70" s="91" t="s">
        <v>354</v>
      </c>
      <c r="B70" s="104">
        <v>31100</v>
      </c>
      <c r="C70" s="104">
        <v>61</v>
      </c>
      <c r="D70" s="104">
        <v>1080</v>
      </c>
      <c r="E70" s="104">
        <v>1900</v>
      </c>
      <c r="F70" s="104">
        <v>76</v>
      </c>
      <c r="G70" s="84">
        <v>283500</v>
      </c>
      <c r="I70" s="122"/>
      <c r="M70" s="120"/>
      <c r="N70" s="119"/>
      <c r="O70" s="118"/>
      <c r="P70" s="118"/>
      <c r="Q70" s="118"/>
      <c r="R70" s="121"/>
      <c r="S70" s="118"/>
    </row>
    <row r="71" spans="1:19" x14ac:dyDescent="0.2">
      <c r="A71" s="91" t="s">
        <v>355</v>
      </c>
      <c r="B71" s="104">
        <v>25000</v>
      </c>
      <c r="C71" s="104">
        <v>65</v>
      </c>
      <c r="D71" s="104">
        <v>1242</v>
      </c>
      <c r="E71" s="104">
        <v>1500</v>
      </c>
      <c r="F71" s="104">
        <v>82</v>
      </c>
      <c r="G71" s="84">
        <v>320700</v>
      </c>
      <c r="H71" s="84"/>
      <c r="M71" s="120"/>
      <c r="N71" s="119"/>
      <c r="O71" s="118"/>
      <c r="P71" s="118"/>
      <c r="Q71" s="118"/>
      <c r="R71" s="121"/>
      <c r="S71" s="118"/>
    </row>
    <row r="72" spans="1:19" x14ac:dyDescent="0.2">
      <c r="A72" s="91" t="s">
        <v>356</v>
      </c>
      <c r="B72" s="104">
        <v>30500</v>
      </c>
      <c r="C72" s="104">
        <v>65</v>
      </c>
      <c r="D72" s="104">
        <v>1271</v>
      </c>
      <c r="E72" s="104">
        <v>2900</v>
      </c>
      <c r="F72" s="104">
        <v>84</v>
      </c>
      <c r="G72" s="84">
        <v>313700</v>
      </c>
      <c r="H72" s="84"/>
      <c r="M72" s="120"/>
      <c r="N72" s="119"/>
      <c r="O72" s="118"/>
      <c r="P72" s="118"/>
      <c r="Q72" s="118"/>
      <c r="R72" s="121"/>
      <c r="S72" s="118"/>
    </row>
    <row r="73" spans="1:19" x14ac:dyDescent="0.2">
      <c r="A73" s="91" t="s">
        <v>360</v>
      </c>
      <c r="B73" s="104">
        <v>43100</v>
      </c>
      <c r="C73" s="104">
        <v>62</v>
      </c>
      <c r="D73" s="104">
        <v>1238</v>
      </c>
      <c r="E73" s="104">
        <v>1400</v>
      </c>
      <c r="F73" s="104">
        <v>89</v>
      </c>
      <c r="G73" s="84">
        <v>250000</v>
      </c>
      <c r="H73" s="84"/>
      <c r="M73" s="120"/>
      <c r="N73" s="119"/>
      <c r="O73" s="118"/>
      <c r="P73" s="118"/>
      <c r="Q73" s="118"/>
      <c r="R73" s="121"/>
      <c r="S73" s="118"/>
    </row>
    <row r="74" spans="1:19" x14ac:dyDescent="0.2">
      <c r="A74" s="91" t="s">
        <v>361</v>
      </c>
      <c r="B74" s="123">
        <v>35700</v>
      </c>
      <c r="C74" s="123">
        <v>61</v>
      </c>
      <c r="D74" s="123">
        <v>1350</v>
      </c>
      <c r="E74" s="104">
        <v>1600</v>
      </c>
      <c r="F74" s="104">
        <v>74</v>
      </c>
      <c r="G74" s="84">
        <v>389800</v>
      </c>
      <c r="H74" s="84"/>
      <c r="M74" s="120"/>
      <c r="N74" s="119"/>
      <c r="O74" s="118"/>
      <c r="P74" s="118"/>
      <c r="Q74" s="118"/>
      <c r="R74" s="121"/>
      <c r="S74" s="118"/>
    </row>
    <row r="75" spans="1:19" x14ac:dyDescent="0.2">
      <c r="A75" s="91" t="s">
        <v>362</v>
      </c>
      <c r="B75" s="104">
        <v>41300</v>
      </c>
      <c r="C75" s="104">
        <v>62</v>
      </c>
      <c r="D75" s="104">
        <v>1374</v>
      </c>
      <c r="E75" s="104">
        <v>1570</v>
      </c>
      <c r="F75" s="104">
        <v>80</v>
      </c>
      <c r="G75" s="84">
        <v>318000</v>
      </c>
      <c r="H75" s="84"/>
      <c r="K75" s="85"/>
      <c r="L75" s="122"/>
      <c r="M75" s="85"/>
      <c r="N75" s="85"/>
      <c r="O75" s="118"/>
      <c r="P75" s="118"/>
      <c r="Q75" s="118"/>
      <c r="R75" s="121"/>
      <c r="S75" s="118"/>
    </row>
    <row r="76" spans="1:19" x14ac:dyDescent="0.2">
      <c r="A76" s="91" t="s">
        <v>363</v>
      </c>
      <c r="B76" s="104">
        <v>50300</v>
      </c>
      <c r="C76" s="104">
        <v>61</v>
      </c>
      <c r="D76" s="104">
        <v>1270</v>
      </c>
      <c r="E76" s="104">
        <v>1575</v>
      </c>
      <c r="F76" s="104">
        <v>78</v>
      </c>
      <c r="G76" s="84">
        <v>462700</v>
      </c>
      <c r="K76" s="85"/>
      <c r="M76" s="85"/>
      <c r="N76" s="85"/>
      <c r="O76" s="118"/>
      <c r="P76" s="118"/>
      <c r="Q76" s="118"/>
      <c r="R76" s="118"/>
      <c r="S76" s="118"/>
    </row>
    <row r="77" spans="1:19" x14ac:dyDescent="0.2">
      <c r="A77" s="91" t="s">
        <v>364</v>
      </c>
      <c r="B77" s="104">
        <v>61700</v>
      </c>
      <c r="C77" s="104">
        <v>62</v>
      </c>
      <c r="D77" s="104">
        <v>1421</v>
      </c>
      <c r="E77" s="104">
        <v>1854</v>
      </c>
      <c r="F77" s="104">
        <v>58</v>
      </c>
      <c r="G77" s="84">
        <v>388900</v>
      </c>
      <c r="K77" s="85"/>
      <c r="L77" s="122"/>
      <c r="M77" s="85"/>
      <c r="N77" s="85"/>
      <c r="O77" s="124"/>
      <c r="P77" s="118"/>
      <c r="Q77" s="118"/>
      <c r="R77" s="121"/>
      <c r="S77" s="118"/>
    </row>
    <row r="78" spans="1:19" x14ac:dyDescent="0.2">
      <c r="A78" s="91" t="s">
        <v>365</v>
      </c>
      <c r="B78" s="104">
        <v>57400</v>
      </c>
      <c r="C78" s="104">
        <v>59</v>
      </c>
      <c r="D78" s="104">
        <v>1440</v>
      </c>
      <c r="E78" s="104">
        <v>2038</v>
      </c>
      <c r="F78" s="104">
        <v>78</v>
      </c>
      <c r="G78" s="84">
        <v>426800</v>
      </c>
      <c r="K78" s="85"/>
      <c r="L78" s="122"/>
      <c r="M78" s="85"/>
      <c r="N78" s="85"/>
      <c r="O78" s="118"/>
      <c r="P78" s="118"/>
      <c r="Q78" s="118"/>
      <c r="R78" s="121"/>
      <c r="S78" s="118"/>
    </row>
    <row r="79" spans="1:19" x14ac:dyDescent="0.2">
      <c r="A79" s="91" t="s">
        <v>366</v>
      </c>
      <c r="B79" s="104">
        <v>43300</v>
      </c>
      <c r="C79" s="104">
        <v>62</v>
      </c>
      <c r="D79" s="104">
        <v>1419</v>
      </c>
      <c r="E79" s="104">
        <v>1229</v>
      </c>
      <c r="F79" s="104">
        <v>70</v>
      </c>
      <c r="G79" s="84">
        <v>542300</v>
      </c>
      <c r="H79" s="85"/>
      <c r="I79" s="122"/>
      <c r="J79" s="85"/>
      <c r="K79" s="85"/>
      <c r="L79" s="118"/>
      <c r="M79" s="118"/>
      <c r="N79" s="118"/>
      <c r="O79" s="121"/>
      <c r="P79" s="118"/>
    </row>
    <row r="80" spans="1:19" x14ac:dyDescent="0.2">
      <c r="A80" s="91" t="s">
        <v>367</v>
      </c>
      <c r="B80" s="104">
        <v>67600</v>
      </c>
      <c r="C80" s="104">
        <v>60</v>
      </c>
      <c r="D80" s="104">
        <v>1398</v>
      </c>
      <c r="E80" s="104">
        <v>2664</v>
      </c>
      <c r="F80" s="104">
        <v>63</v>
      </c>
      <c r="G80" s="84">
        <v>540600</v>
      </c>
      <c r="H80" s="85"/>
      <c r="I80" s="122"/>
      <c r="J80" s="89"/>
      <c r="K80" s="85"/>
      <c r="L80" s="125"/>
      <c r="M80" s="118"/>
    </row>
    <row r="81" spans="1:19" x14ac:dyDescent="0.2">
      <c r="A81" s="91" t="s">
        <v>368</v>
      </c>
      <c r="B81" s="104">
        <v>83600</v>
      </c>
      <c r="C81" s="104">
        <v>59</v>
      </c>
      <c r="D81" s="104">
        <v>1347</v>
      </c>
      <c r="E81" s="104">
        <v>4291</v>
      </c>
      <c r="F81" s="104">
        <v>50</v>
      </c>
      <c r="G81" s="84">
        <v>329200</v>
      </c>
      <c r="H81" s="85"/>
      <c r="I81" s="122"/>
      <c r="J81" s="89"/>
      <c r="K81" s="85"/>
      <c r="L81" s="125"/>
      <c r="M81" s="118"/>
    </row>
    <row r="82" spans="1:19" x14ac:dyDescent="0.2">
      <c r="A82" s="91" t="s">
        <v>369</v>
      </c>
      <c r="B82" s="104">
        <v>67300</v>
      </c>
      <c r="C82" s="104">
        <v>60</v>
      </c>
      <c r="D82" s="104">
        <v>1447</v>
      </c>
      <c r="E82" s="104">
        <v>3165</v>
      </c>
      <c r="F82" s="104">
        <v>82</v>
      </c>
      <c r="G82" s="84">
        <v>521700</v>
      </c>
      <c r="H82" s="85"/>
      <c r="I82" s="89"/>
      <c r="J82" s="85"/>
      <c r="K82" s="126"/>
      <c r="L82" s="127"/>
      <c r="M82" s="128"/>
    </row>
    <row r="83" spans="1:19" x14ac:dyDescent="0.2">
      <c r="A83" s="91" t="s">
        <v>370</v>
      </c>
      <c r="B83" s="104">
        <v>55066</v>
      </c>
      <c r="C83" s="104">
        <v>57</v>
      </c>
      <c r="D83" s="104">
        <v>1458</v>
      </c>
      <c r="E83" s="104">
        <v>2953</v>
      </c>
      <c r="F83" s="104">
        <v>65</v>
      </c>
      <c r="G83" s="84">
        <v>638800</v>
      </c>
      <c r="H83" s="85"/>
      <c r="I83" s="89"/>
      <c r="J83" s="85"/>
      <c r="K83" s="126"/>
      <c r="L83" s="127"/>
      <c r="M83" s="128"/>
    </row>
    <row r="84" spans="1:19" x14ac:dyDescent="0.2">
      <c r="A84" s="91" t="s">
        <v>371</v>
      </c>
      <c r="B84" s="104">
        <v>61996</v>
      </c>
      <c r="C84" s="104">
        <v>52</v>
      </c>
      <c r="D84" s="104">
        <v>1432</v>
      </c>
      <c r="E84" s="104">
        <v>3078</v>
      </c>
      <c r="F84" s="104">
        <v>64</v>
      </c>
      <c r="G84" s="84">
        <v>590700</v>
      </c>
      <c r="H84" s="85"/>
      <c r="I84" s="89"/>
      <c r="J84" s="85"/>
      <c r="K84" s="126"/>
      <c r="L84" s="127"/>
      <c r="M84" s="128"/>
    </row>
    <row r="85" spans="1:19" x14ac:dyDescent="0.2">
      <c r="A85" s="91" t="s">
        <v>372</v>
      </c>
      <c r="B85" s="104">
        <v>73376</v>
      </c>
      <c r="C85" s="104">
        <v>58</v>
      </c>
      <c r="D85" s="104">
        <v>1530</v>
      </c>
      <c r="E85" s="104">
        <v>6681</v>
      </c>
      <c r="F85" s="104">
        <v>70</v>
      </c>
      <c r="G85" s="84">
        <v>566800</v>
      </c>
      <c r="H85" s="84"/>
      <c r="I85" s="89"/>
      <c r="J85" s="85"/>
      <c r="K85" s="126"/>
      <c r="L85" s="127"/>
      <c r="M85" s="128"/>
    </row>
    <row r="86" spans="1:19" x14ac:dyDescent="0.2">
      <c r="A86" s="91" t="s">
        <v>373</v>
      </c>
      <c r="B86" s="104">
        <v>72067</v>
      </c>
      <c r="C86" s="104">
        <v>51</v>
      </c>
      <c r="D86" s="104">
        <v>1524</v>
      </c>
      <c r="E86" s="123"/>
      <c r="F86" s="123"/>
      <c r="G86" s="84">
        <v>700000</v>
      </c>
      <c r="I86" s="89"/>
      <c r="J86" s="85"/>
      <c r="K86" s="125" t="s">
        <v>411</v>
      </c>
      <c r="L86" s="125"/>
      <c r="M86" s="118"/>
    </row>
    <row r="87" spans="1:19" x14ac:dyDescent="0.2">
      <c r="A87" s="91" t="s">
        <v>378</v>
      </c>
      <c r="B87" s="104">
        <v>61403</v>
      </c>
      <c r="C87" s="104">
        <v>55</v>
      </c>
      <c r="D87" s="104">
        <v>1526</v>
      </c>
      <c r="E87" s="104">
        <v>3075</v>
      </c>
      <c r="F87" s="104">
        <v>72</v>
      </c>
      <c r="G87" s="84">
        <v>544500</v>
      </c>
      <c r="I87" s="89"/>
      <c r="J87" s="85"/>
      <c r="K87" s="125"/>
      <c r="L87" s="125"/>
      <c r="M87" s="118"/>
    </row>
    <row r="88" spans="1:19" x14ac:dyDescent="0.2">
      <c r="A88" s="91" t="s">
        <v>379</v>
      </c>
      <c r="B88" s="104">
        <v>76419</v>
      </c>
      <c r="C88" s="104">
        <v>54</v>
      </c>
      <c r="D88" s="104">
        <v>1601</v>
      </c>
      <c r="E88" s="104">
        <v>3248</v>
      </c>
      <c r="F88" s="104">
        <v>74</v>
      </c>
      <c r="G88" s="84">
        <v>483200</v>
      </c>
      <c r="L88" s="118"/>
      <c r="M88" s="129"/>
      <c r="N88" s="119"/>
      <c r="O88" s="118"/>
      <c r="P88" s="118"/>
      <c r="Q88" s="118"/>
      <c r="R88" s="130"/>
      <c r="S88" s="118"/>
    </row>
    <row r="89" spans="1:19" x14ac:dyDescent="0.2">
      <c r="A89" s="91" t="s">
        <v>380</v>
      </c>
      <c r="B89" s="104">
        <v>77385</v>
      </c>
      <c r="C89" s="104">
        <v>53</v>
      </c>
      <c r="D89" s="104">
        <v>1422</v>
      </c>
      <c r="E89" s="104">
        <v>4218</v>
      </c>
      <c r="F89" s="104">
        <v>53</v>
      </c>
      <c r="G89" s="84">
        <v>553400</v>
      </c>
    </row>
    <row r="90" spans="1:19" x14ac:dyDescent="0.2">
      <c r="A90" s="91" t="s">
        <v>381</v>
      </c>
      <c r="B90" s="104">
        <v>69640</v>
      </c>
      <c r="C90" s="104">
        <v>53</v>
      </c>
      <c r="D90" s="104">
        <v>1696</v>
      </c>
      <c r="E90" s="104">
        <v>4483</v>
      </c>
      <c r="F90" s="104">
        <v>72</v>
      </c>
      <c r="G90" s="84">
        <v>467200</v>
      </c>
    </row>
    <row r="91" spans="1:19" x14ac:dyDescent="0.2">
      <c r="A91" s="91" t="s">
        <v>382</v>
      </c>
      <c r="B91" s="131">
        <v>61890</v>
      </c>
      <c r="C91" s="104">
        <v>54</v>
      </c>
      <c r="D91" s="104">
        <v>1707</v>
      </c>
      <c r="E91" s="104">
        <v>4147</v>
      </c>
      <c r="F91" s="104">
        <v>70</v>
      </c>
      <c r="G91" s="84">
        <v>592200</v>
      </c>
    </row>
    <row r="92" spans="1:19" x14ac:dyDescent="0.2">
      <c r="A92" s="91" t="s">
        <v>383</v>
      </c>
      <c r="B92" s="104">
        <v>78610</v>
      </c>
      <c r="C92" s="131">
        <v>54</v>
      </c>
      <c r="D92" s="131">
        <v>1612</v>
      </c>
      <c r="E92" s="131">
        <v>7996</v>
      </c>
      <c r="F92" s="131">
        <v>63</v>
      </c>
      <c r="G92" s="85">
        <v>683900</v>
      </c>
    </row>
    <row r="93" spans="1:19" x14ac:dyDescent="0.2">
      <c r="A93" s="91" t="s">
        <v>384</v>
      </c>
      <c r="B93" s="104">
        <v>75870</v>
      </c>
      <c r="C93" s="104">
        <v>54</v>
      </c>
      <c r="D93" s="104">
        <v>1634</v>
      </c>
      <c r="E93" s="104">
        <v>4957</v>
      </c>
      <c r="F93" s="104">
        <v>68</v>
      </c>
      <c r="G93" s="84">
        <v>545800</v>
      </c>
    </row>
    <row r="94" spans="1:19" x14ac:dyDescent="0.2">
      <c r="A94" s="91" t="s">
        <v>385</v>
      </c>
      <c r="B94" s="104">
        <v>55670</v>
      </c>
      <c r="C94" s="104">
        <v>55</v>
      </c>
      <c r="D94" s="104">
        <v>1562</v>
      </c>
      <c r="E94" s="104">
        <v>6837</v>
      </c>
      <c r="F94" s="104">
        <v>57</v>
      </c>
      <c r="G94" s="84">
        <v>498300</v>
      </c>
    </row>
    <row r="95" spans="1:19" x14ac:dyDescent="0.2">
      <c r="A95" s="91" t="s">
        <v>386</v>
      </c>
      <c r="B95" s="104">
        <v>66460</v>
      </c>
      <c r="C95" s="104">
        <v>54</v>
      </c>
      <c r="D95" s="104">
        <v>1604</v>
      </c>
      <c r="E95" s="104">
        <v>4484</v>
      </c>
      <c r="F95" s="104">
        <v>73</v>
      </c>
      <c r="G95" s="84">
        <v>616600</v>
      </c>
    </row>
    <row r="96" spans="1:19" x14ac:dyDescent="0.2">
      <c r="A96" s="91" t="s">
        <v>387</v>
      </c>
      <c r="B96" s="104">
        <v>68140</v>
      </c>
      <c r="C96" s="104">
        <v>52</v>
      </c>
      <c r="D96" s="104">
        <v>1640</v>
      </c>
      <c r="E96" s="104">
        <v>7285</v>
      </c>
      <c r="F96" s="104">
        <v>54</v>
      </c>
      <c r="G96" s="84">
        <v>646700</v>
      </c>
    </row>
    <row r="97" spans="1:13" x14ac:dyDescent="0.2">
      <c r="A97" s="91" t="s">
        <v>388</v>
      </c>
      <c r="B97" s="123">
        <v>69630</v>
      </c>
      <c r="C97" s="104">
        <v>54</v>
      </c>
      <c r="D97" s="104">
        <v>1676</v>
      </c>
      <c r="E97" s="104">
        <v>7824</v>
      </c>
      <c r="F97" s="104">
        <v>62</v>
      </c>
      <c r="G97" s="84">
        <v>445900</v>
      </c>
    </row>
    <row r="98" spans="1:13" x14ac:dyDescent="0.2">
      <c r="A98" s="91" t="s">
        <v>389</v>
      </c>
      <c r="B98" s="123">
        <v>67230</v>
      </c>
      <c r="C98" s="123">
        <v>59</v>
      </c>
      <c r="D98" s="123">
        <v>1685</v>
      </c>
      <c r="E98" s="123">
        <v>3310</v>
      </c>
      <c r="F98" s="123">
        <v>74</v>
      </c>
      <c r="G98" s="91">
        <v>490500</v>
      </c>
    </row>
    <row r="99" spans="1:13" x14ac:dyDescent="0.2">
      <c r="A99" s="91" t="s">
        <v>390</v>
      </c>
      <c r="B99" s="123">
        <v>60620</v>
      </c>
      <c r="C99" s="123">
        <v>44</v>
      </c>
      <c r="D99" s="123">
        <v>1580</v>
      </c>
      <c r="E99" s="123">
        <v>3564</v>
      </c>
      <c r="F99" s="123">
        <v>61</v>
      </c>
      <c r="G99" s="91">
        <v>708800</v>
      </c>
    </row>
    <row r="100" spans="1:13" x14ac:dyDescent="0.2">
      <c r="A100" s="91" t="s">
        <v>391</v>
      </c>
      <c r="B100" s="123">
        <v>65700</v>
      </c>
      <c r="C100" s="123">
        <v>55</v>
      </c>
      <c r="D100" s="123">
        <v>1589</v>
      </c>
      <c r="E100" s="123">
        <v>2622</v>
      </c>
      <c r="F100" s="123">
        <v>61</v>
      </c>
      <c r="G100" s="91">
        <v>756200</v>
      </c>
    </row>
    <row r="101" spans="1:13" x14ac:dyDescent="0.2">
      <c r="A101" s="91" t="s">
        <v>392</v>
      </c>
      <c r="B101" s="123">
        <v>88740</v>
      </c>
      <c r="C101" s="123">
        <v>48</v>
      </c>
      <c r="D101" s="123">
        <v>1638</v>
      </c>
      <c r="E101" s="123">
        <v>5763</v>
      </c>
      <c r="F101" s="123">
        <v>69</v>
      </c>
      <c r="G101" s="91">
        <v>622400</v>
      </c>
    </row>
    <row r="102" spans="1:13" x14ac:dyDescent="0.2">
      <c r="A102" s="91" t="s">
        <v>397</v>
      </c>
      <c r="B102" s="123">
        <v>72460</v>
      </c>
      <c r="C102" s="123">
        <v>54</v>
      </c>
      <c r="D102" s="123">
        <v>1613</v>
      </c>
      <c r="E102" s="123">
        <v>6828</v>
      </c>
      <c r="F102" s="123">
        <v>70</v>
      </c>
      <c r="K102" s="125" t="s">
        <v>412</v>
      </c>
    </row>
    <row r="103" spans="1:13" x14ac:dyDescent="0.2">
      <c r="A103" s="91" t="s">
        <v>398</v>
      </c>
      <c r="B103" s="123">
        <v>64210</v>
      </c>
      <c r="C103" s="123">
        <v>58</v>
      </c>
      <c r="D103" s="123">
        <v>1768</v>
      </c>
      <c r="E103" s="123">
        <v>3349</v>
      </c>
      <c r="F103" s="123">
        <v>70</v>
      </c>
      <c r="G103" s="91">
        <v>582600</v>
      </c>
    </row>
    <row r="104" spans="1:13" x14ac:dyDescent="0.2">
      <c r="A104" s="91" t="s">
        <v>399</v>
      </c>
      <c r="B104" s="123">
        <v>83640</v>
      </c>
      <c r="C104" s="123">
        <v>69</v>
      </c>
      <c r="D104" s="123">
        <v>1683</v>
      </c>
      <c r="E104" s="123">
        <v>3158</v>
      </c>
      <c r="F104" s="123">
        <v>74</v>
      </c>
      <c r="G104" s="91">
        <v>371100</v>
      </c>
    </row>
    <row r="105" spans="1:13" x14ac:dyDescent="0.2">
      <c r="A105" s="91" t="s">
        <v>400</v>
      </c>
      <c r="B105" s="123">
        <v>84320</v>
      </c>
      <c r="C105" s="123">
        <v>74</v>
      </c>
      <c r="D105" s="123">
        <v>1722</v>
      </c>
      <c r="E105" s="123">
        <v>2775</v>
      </c>
      <c r="F105" s="123">
        <v>72</v>
      </c>
      <c r="G105" s="91">
        <v>555600</v>
      </c>
    </row>
    <row r="106" spans="1:13" x14ac:dyDescent="0.2">
      <c r="A106" s="91" t="s">
        <v>401</v>
      </c>
      <c r="B106" s="123">
        <v>68940</v>
      </c>
      <c r="C106" s="123">
        <v>70</v>
      </c>
      <c r="D106" s="123">
        <v>1821</v>
      </c>
      <c r="E106" s="123">
        <v>5760</v>
      </c>
      <c r="F106" s="123">
        <v>76</v>
      </c>
      <c r="G106" s="91">
        <v>898700</v>
      </c>
    </row>
    <row r="107" spans="1:13" x14ac:dyDescent="0.2">
      <c r="A107" s="91" t="s">
        <v>402</v>
      </c>
      <c r="B107" s="123">
        <v>51800</v>
      </c>
      <c r="C107" s="123">
        <v>65</v>
      </c>
      <c r="D107" s="123">
        <v>1852</v>
      </c>
      <c r="E107" s="123">
        <v>3169</v>
      </c>
      <c r="F107" s="123">
        <v>80</v>
      </c>
      <c r="G107" s="123">
        <v>635800</v>
      </c>
      <c r="K107" s="132"/>
      <c r="L107" s="132"/>
      <c r="M107" s="133"/>
    </row>
    <row r="108" spans="1:13" x14ac:dyDescent="0.2">
      <c r="A108" s="91" t="s">
        <v>403</v>
      </c>
      <c r="B108" s="123">
        <v>76480</v>
      </c>
      <c r="C108" s="123">
        <v>70</v>
      </c>
      <c r="D108" s="123">
        <v>1785</v>
      </c>
      <c r="E108" s="123">
        <v>5140</v>
      </c>
      <c r="F108" s="123">
        <v>70</v>
      </c>
      <c r="G108" s="123">
        <v>726400</v>
      </c>
    </row>
    <row r="109" spans="1:13" x14ac:dyDescent="0.2">
      <c r="A109" s="135" t="s">
        <v>404</v>
      </c>
      <c r="B109" s="123">
        <v>82980</v>
      </c>
      <c r="C109" s="123">
        <v>57</v>
      </c>
      <c r="D109" s="123">
        <v>1795</v>
      </c>
      <c r="E109" s="123">
        <v>4743</v>
      </c>
      <c r="F109" s="123">
        <v>74</v>
      </c>
      <c r="G109" s="123">
        <v>562900</v>
      </c>
    </row>
    <row r="110" spans="1:13" x14ac:dyDescent="0.2">
      <c r="A110" s="91" t="s">
        <v>406</v>
      </c>
      <c r="B110" s="123">
        <v>78620</v>
      </c>
      <c r="C110" s="123">
        <v>60</v>
      </c>
      <c r="D110" s="123">
        <v>1889</v>
      </c>
      <c r="E110" s="123">
        <v>4770</v>
      </c>
      <c r="F110" s="123">
        <v>79</v>
      </c>
      <c r="G110" s="123">
        <v>747600</v>
      </c>
      <c r="K110" s="125" t="s">
        <v>413</v>
      </c>
    </row>
    <row r="111" spans="1:13" ht="12" customHeight="1" x14ac:dyDescent="0.2">
      <c r="A111" s="91" t="s">
        <v>409</v>
      </c>
      <c r="B111" s="91">
        <v>82840</v>
      </c>
      <c r="C111" s="91">
        <v>58</v>
      </c>
      <c r="D111" s="91">
        <v>1862</v>
      </c>
      <c r="E111" s="91">
        <v>3688</v>
      </c>
      <c r="F111" s="91">
        <v>79</v>
      </c>
      <c r="G111" s="91">
        <v>488500</v>
      </c>
    </row>
    <row r="112" spans="1:13" x14ac:dyDescent="0.2">
      <c r="A112" s="91" t="s">
        <v>416</v>
      </c>
      <c r="B112" s="123">
        <v>95810</v>
      </c>
      <c r="C112" s="91">
        <v>60</v>
      </c>
      <c r="D112" s="123">
        <v>1776</v>
      </c>
      <c r="E112" s="91">
        <v>3655</v>
      </c>
      <c r="F112" s="91">
        <v>82</v>
      </c>
      <c r="G112" s="123">
        <v>523100</v>
      </c>
    </row>
    <row r="113" spans="1:7" s="84" customFormat="1" x14ac:dyDescent="0.2">
      <c r="A113" s="91" t="s">
        <v>417</v>
      </c>
      <c r="B113" s="85">
        <v>82710</v>
      </c>
      <c r="C113" s="85">
        <v>55</v>
      </c>
      <c r="D113" s="85">
        <v>1800</v>
      </c>
      <c r="E113" s="85">
        <v>4177</v>
      </c>
      <c r="F113" s="85">
        <v>68</v>
      </c>
      <c r="G113" s="85">
        <v>575300</v>
      </c>
    </row>
    <row r="114" spans="1:7" s="84" customFormat="1" x14ac:dyDescent="0.2">
      <c r="A114" s="91" t="s">
        <v>418</v>
      </c>
      <c r="B114" s="85">
        <v>90050</v>
      </c>
      <c r="C114" s="85">
        <v>47</v>
      </c>
      <c r="D114" s="85">
        <v>1747</v>
      </c>
      <c r="E114" s="85">
        <v>4531</v>
      </c>
      <c r="F114" s="85">
        <v>65</v>
      </c>
      <c r="G114" s="85">
        <v>679900</v>
      </c>
    </row>
    <row r="115" spans="1:7" s="84" customFormat="1" x14ac:dyDescent="0.2">
      <c r="A115" s="91" t="s">
        <v>419</v>
      </c>
      <c r="B115" s="85">
        <v>99260</v>
      </c>
      <c r="C115" s="85">
        <v>49</v>
      </c>
      <c r="D115" s="92">
        <v>1710</v>
      </c>
      <c r="E115" s="85">
        <v>2829</v>
      </c>
      <c r="F115" s="85">
        <v>80</v>
      </c>
      <c r="G115" s="85">
        <v>635600</v>
      </c>
    </row>
    <row r="116" spans="1:7" s="84" customFormat="1" x14ac:dyDescent="0.2">
      <c r="A116" s="91" t="s">
        <v>420</v>
      </c>
      <c r="B116" s="85">
        <v>118200</v>
      </c>
      <c r="C116" s="85">
        <v>47</v>
      </c>
      <c r="D116" s="112">
        <v>1766</v>
      </c>
      <c r="E116" s="85">
        <v>4452</v>
      </c>
      <c r="F116" s="85">
        <v>64</v>
      </c>
      <c r="G116" s="85">
        <v>608200</v>
      </c>
    </row>
    <row r="117" spans="1:7" s="84" customFormat="1" x14ac:dyDescent="0.2">
      <c r="A117" s="91" t="s">
        <v>421</v>
      </c>
      <c r="B117" s="85">
        <v>142900</v>
      </c>
      <c r="C117" s="85">
        <v>46</v>
      </c>
      <c r="D117" s="92">
        <v>1864</v>
      </c>
      <c r="E117" s="85">
        <v>4008</v>
      </c>
      <c r="F117" s="85">
        <v>63</v>
      </c>
      <c r="G117" s="85">
        <v>611700</v>
      </c>
    </row>
    <row r="118" spans="1:7" s="84" customFormat="1" x14ac:dyDescent="0.2">
      <c r="A118" s="92" t="s">
        <v>422</v>
      </c>
      <c r="B118" s="84">
        <v>144400</v>
      </c>
      <c r="C118" s="84">
        <v>48</v>
      </c>
      <c r="D118" s="92">
        <v>1843</v>
      </c>
      <c r="E118" s="84">
        <v>4793</v>
      </c>
      <c r="F118" s="84">
        <v>66</v>
      </c>
      <c r="G118" s="84">
        <v>571800</v>
      </c>
    </row>
    <row r="119" spans="1:7" s="84" customFormat="1" x14ac:dyDescent="0.2">
      <c r="A119" s="92" t="s">
        <v>436</v>
      </c>
      <c r="B119" s="84">
        <v>124300</v>
      </c>
      <c r="C119" s="84">
        <v>43</v>
      </c>
      <c r="D119" s="92">
        <v>1916</v>
      </c>
      <c r="E119" s="84">
        <v>2902</v>
      </c>
      <c r="F119" s="84">
        <v>70</v>
      </c>
      <c r="G119" s="84">
        <v>534200</v>
      </c>
    </row>
    <row r="120" spans="1:7" x14ac:dyDescent="0.2">
      <c r="A120" s="91" t="s">
        <v>437</v>
      </c>
      <c r="B120" s="134">
        <v>93400</v>
      </c>
      <c r="C120" s="91">
        <v>47</v>
      </c>
      <c r="D120" s="123">
        <v>1910</v>
      </c>
      <c r="E120" s="91">
        <v>2551</v>
      </c>
      <c r="F120" s="91">
        <v>61</v>
      </c>
      <c r="G120" s="91">
        <v>593600</v>
      </c>
    </row>
    <row r="121" spans="1:7" x14ac:dyDescent="0.2">
      <c r="A121" s="91" t="s">
        <v>438</v>
      </c>
      <c r="B121" s="134">
        <v>93680</v>
      </c>
      <c r="C121" s="91">
        <v>47</v>
      </c>
      <c r="D121" s="134">
        <v>1860</v>
      </c>
      <c r="E121" s="91">
        <v>5167</v>
      </c>
      <c r="F121" s="91">
        <v>69</v>
      </c>
      <c r="G121" s="91">
        <v>651100</v>
      </c>
    </row>
  </sheetData>
  <mergeCells count="4">
    <mergeCell ref="M60:N60"/>
    <mergeCell ref="O60:Q60"/>
    <mergeCell ref="R60:S60"/>
    <mergeCell ref="O61:Q61"/>
  </mergeCells>
  <phoneticPr fontId="90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5"/>
  <sheetViews>
    <sheetView workbookViewId="0">
      <pane ySplit="1" topLeftCell="A23" activePane="bottomLeft" state="frozen"/>
      <selection pane="bottomLeft" activeCell="A2" sqref="A2"/>
    </sheetView>
  </sheetViews>
  <sheetFormatPr defaultColWidth="9.28515625" defaultRowHeight="12.75" x14ac:dyDescent="0.2"/>
  <cols>
    <col min="1" max="1" width="9.28515625" style="84"/>
    <col min="2" max="2" width="12.42578125" style="84" customWidth="1"/>
    <col min="3" max="3" width="11.5703125" style="84" customWidth="1"/>
    <col min="4" max="4" width="15.42578125" style="84" customWidth="1"/>
    <col min="5" max="5" width="12.42578125" style="84" customWidth="1"/>
    <col min="6" max="6" width="13" style="84" customWidth="1"/>
    <col min="7" max="7" width="22.28515625" style="84" customWidth="1"/>
    <col min="8" max="16384" width="9.28515625" style="84"/>
  </cols>
  <sheetData>
    <row r="1" spans="1:7" s="92" customFormat="1" x14ac:dyDescent="0.25">
      <c r="A1" s="92" t="s">
        <v>0</v>
      </c>
      <c r="B1" s="92" t="s">
        <v>128</v>
      </c>
      <c r="C1" s="112" t="s">
        <v>127</v>
      </c>
      <c r="D1" s="92" t="s">
        <v>129</v>
      </c>
      <c r="E1" s="92" t="s">
        <v>130</v>
      </c>
      <c r="F1" s="92" t="s">
        <v>131</v>
      </c>
      <c r="G1" s="92" t="s">
        <v>132</v>
      </c>
    </row>
    <row r="2" spans="1:7" s="91" customFormat="1" x14ac:dyDescent="0.2">
      <c r="A2" s="91">
        <v>1970</v>
      </c>
      <c r="B2" s="84">
        <v>328400</v>
      </c>
      <c r="C2" s="84">
        <v>73</v>
      </c>
      <c r="D2" s="84">
        <v>188</v>
      </c>
      <c r="E2" s="84">
        <v>72500</v>
      </c>
      <c r="F2" s="84"/>
      <c r="G2" s="84"/>
    </row>
    <row r="3" spans="1:7" s="91" customFormat="1" x14ac:dyDescent="0.2">
      <c r="A3" s="91">
        <v>1971</v>
      </c>
      <c r="B3" s="84">
        <v>334400</v>
      </c>
      <c r="C3" s="84">
        <v>68</v>
      </c>
      <c r="D3" s="84">
        <v>187</v>
      </c>
      <c r="E3" s="84">
        <v>49100</v>
      </c>
      <c r="F3" s="84"/>
      <c r="G3" s="84"/>
    </row>
    <row r="4" spans="1:7" s="91" customFormat="1" x14ac:dyDescent="0.2">
      <c r="A4" s="91">
        <v>1972</v>
      </c>
      <c r="B4" s="84">
        <v>497900</v>
      </c>
      <c r="C4" s="84">
        <v>68</v>
      </c>
      <c r="D4" s="84">
        <v>191</v>
      </c>
      <c r="E4" s="84">
        <v>57300</v>
      </c>
      <c r="F4" s="84"/>
      <c r="G4" s="84"/>
    </row>
    <row r="5" spans="1:7" s="91" customFormat="1" x14ac:dyDescent="0.2">
      <c r="A5" s="91">
        <v>1973</v>
      </c>
      <c r="B5" s="84">
        <v>531700</v>
      </c>
      <c r="C5" s="84">
        <v>70</v>
      </c>
      <c r="D5" s="84">
        <v>191</v>
      </c>
      <c r="E5" s="84">
        <v>98100</v>
      </c>
      <c r="F5" s="84"/>
      <c r="G5" s="84"/>
    </row>
    <row r="6" spans="1:7" s="91" customFormat="1" x14ac:dyDescent="0.2">
      <c r="A6" s="91">
        <v>1974</v>
      </c>
      <c r="B6" s="84">
        <v>405500</v>
      </c>
      <c r="C6" s="84">
        <v>68</v>
      </c>
      <c r="D6" s="84">
        <v>197</v>
      </c>
      <c r="E6" s="84">
        <v>159000</v>
      </c>
      <c r="F6" s="84"/>
      <c r="G6" s="84"/>
    </row>
    <row r="7" spans="1:7" s="91" customFormat="1" x14ac:dyDescent="0.2">
      <c r="A7" s="91">
        <v>1975</v>
      </c>
      <c r="B7" s="84">
        <v>223100</v>
      </c>
      <c r="C7" s="84">
        <v>70</v>
      </c>
      <c r="D7" s="84">
        <v>211</v>
      </c>
      <c r="E7" s="84">
        <v>84600</v>
      </c>
      <c r="F7" s="84"/>
      <c r="G7" s="84"/>
    </row>
    <row r="8" spans="1:7" s="91" customFormat="1" x14ac:dyDescent="0.2">
      <c r="A8" s="91">
        <v>1976</v>
      </c>
      <c r="B8" s="84">
        <v>157000</v>
      </c>
      <c r="C8" s="84">
        <v>80</v>
      </c>
      <c r="D8" s="84">
        <v>219</v>
      </c>
      <c r="E8" s="84">
        <v>46300</v>
      </c>
      <c r="F8" s="84"/>
      <c r="G8" s="84"/>
    </row>
    <row r="9" spans="1:7" s="91" customFormat="1" x14ac:dyDescent="0.2">
      <c r="A9" s="91">
        <v>1977</v>
      </c>
      <c r="B9" s="84">
        <v>195600</v>
      </c>
      <c r="C9" s="84">
        <v>80</v>
      </c>
      <c r="D9" s="84">
        <v>232</v>
      </c>
      <c r="E9" s="84">
        <v>43000</v>
      </c>
      <c r="F9" s="84"/>
      <c r="G9" s="84"/>
    </row>
    <row r="10" spans="1:7" s="91" customFormat="1" x14ac:dyDescent="0.2">
      <c r="A10" s="91">
        <v>1978</v>
      </c>
      <c r="B10" s="84">
        <v>228700</v>
      </c>
      <c r="C10" s="84">
        <v>82</v>
      </c>
      <c r="D10" s="84">
        <v>251</v>
      </c>
      <c r="E10" s="84">
        <v>54500</v>
      </c>
      <c r="F10" s="84"/>
      <c r="G10" s="84"/>
    </row>
    <row r="11" spans="1:7" s="91" customFormat="1" x14ac:dyDescent="0.2">
      <c r="A11" s="91">
        <v>1979</v>
      </c>
      <c r="B11" s="84">
        <v>241200</v>
      </c>
      <c r="C11" s="84">
        <v>82</v>
      </c>
      <c r="D11" s="84">
        <v>272</v>
      </c>
      <c r="E11" s="84">
        <v>91800</v>
      </c>
      <c r="F11" s="84"/>
      <c r="G11" s="84"/>
    </row>
    <row r="12" spans="1:7" s="91" customFormat="1" x14ac:dyDescent="0.2">
      <c r="A12" s="91">
        <v>1980</v>
      </c>
      <c r="B12" s="84">
        <v>196100</v>
      </c>
      <c r="C12" s="84">
        <v>75</v>
      </c>
      <c r="D12" s="84">
        <v>308</v>
      </c>
      <c r="E12" s="84">
        <v>122800</v>
      </c>
      <c r="F12" s="84"/>
      <c r="G12" s="84"/>
    </row>
    <row r="13" spans="1:7" s="91" customFormat="1" x14ac:dyDescent="0.2">
      <c r="A13" s="91">
        <v>1981</v>
      </c>
      <c r="B13" s="84">
        <v>135400</v>
      </c>
      <c r="C13" s="84">
        <v>80</v>
      </c>
      <c r="D13" s="84">
        <v>347</v>
      </c>
      <c r="E13" s="84">
        <v>112600</v>
      </c>
      <c r="F13" s="84"/>
      <c r="G13" s="84"/>
    </row>
    <row r="14" spans="1:7" s="91" customFormat="1" x14ac:dyDescent="0.2">
      <c r="A14" s="91">
        <v>1982</v>
      </c>
      <c r="B14" s="84">
        <v>117000</v>
      </c>
      <c r="C14" s="84">
        <v>72</v>
      </c>
      <c r="D14" s="84">
        <v>385</v>
      </c>
      <c r="E14" s="84">
        <v>107900</v>
      </c>
      <c r="F14" s="84"/>
      <c r="G14" s="84"/>
    </row>
    <row r="15" spans="1:7" s="91" customFormat="1" x14ac:dyDescent="0.2">
      <c r="A15" s="91">
        <v>1983</v>
      </c>
      <c r="B15" s="84">
        <v>191500</v>
      </c>
      <c r="C15" s="84">
        <v>69</v>
      </c>
      <c r="D15" s="84">
        <v>386</v>
      </c>
      <c r="E15" s="84">
        <v>111800</v>
      </c>
      <c r="F15" s="84"/>
      <c r="G15" s="84"/>
    </row>
    <row r="16" spans="1:7" s="91" customFormat="1" x14ac:dyDescent="0.2">
      <c r="A16" s="91">
        <v>1984</v>
      </c>
      <c r="B16" s="84">
        <v>313200</v>
      </c>
      <c r="C16" s="84">
        <v>67</v>
      </c>
      <c r="D16" s="84">
        <v>393</v>
      </c>
      <c r="E16" s="84">
        <v>143600</v>
      </c>
      <c r="F16" s="84">
        <v>69</v>
      </c>
      <c r="G16" s="84"/>
    </row>
    <row r="17" spans="1:7" s="91" customFormat="1" x14ac:dyDescent="0.2">
      <c r="A17" s="91">
        <v>1985</v>
      </c>
      <c r="B17" s="84">
        <v>364500</v>
      </c>
      <c r="C17" s="84">
        <v>65</v>
      </c>
      <c r="D17" s="84">
        <v>432</v>
      </c>
      <c r="E17" s="84">
        <v>135800</v>
      </c>
      <c r="F17" s="84">
        <v>65</v>
      </c>
      <c r="G17" s="84"/>
    </row>
    <row r="18" spans="1:7" s="91" customFormat="1" x14ac:dyDescent="0.2">
      <c r="A18" s="91">
        <v>1986</v>
      </c>
      <c r="B18" s="84">
        <v>407600</v>
      </c>
      <c r="C18" s="84">
        <v>66</v>
      </c>
      <c r="D18" s="84">
        <v>457</v>
      </c>
      <c r="E18" s="84">
        <v>101700</v>
      </c>
      <c r="F18" s="84">
        <v>74</v>
      </c>
      <c r="G18" s="84"/>
    </row>
    <row r="19" spans="1:7" s="91" customFormat="1" x14ac:dyDescent="0.2">
      <c r="A19" s="91">
        <v>1987</v>
      </c>
      <c r="B19" s="84">
        <v>345600</v>
      </c>
      <c r="C19" s="84">
        <v>63</v>
      </c>
      <c r="D19" s="84">
        <v>517</v>
      </c>
      <c r="E19" s="84">
        <v>92300</v>
      </c>
      <c r="F19" s="84">
        <v>74</v>
      </c>
      <c r="G19" s="84"/>
    </row>
    <row r="20" spans="1:7" s="91" customFormat="1" x14ac:dyDescent="0.2">
      <c r="A20" s="91">
        <v>1988</v>
      </c>
      <c r="B20" s="84">
        <v>284500</v>
      </c>
      <c r="C20" s="84">
        <v>66</v>
      </c>
      <c r="D20" s="84">
        <v>550</v>
      </c>
      <c r="E20" s="84">
        <v>76200</v>
      </c>
      <c r="F20" s="84">
        <v>64</v>
      </c>
      <c r="G20" s="84">
        <v>116400</v>
      </c>
    </row>
    <row r="21" spans="1:7" s="91" customFormat="1" x14ac:dyDescent="0.2">
      <c r="A21" s="91">
        <v>1989</v>
      </c>
      <c r="B21" s="84">
        <v>246200</v>
      </c>
      <c r="C21" s="84">
        <v>70</v>
      </c>
      <c r="D21" s="84">
        <v>590</v>
      </c>
      <c r="E21" s="84">
        <v>59700</v>
      </c>
      <c r="F21" s="84">
        <v>66</v>
      </c>
      <c r="G21" s="84">
        <v>122300</v>
      </c>
    </row>
    <row r="22" spans="1:7" s="91" customFormat="1" x14ac:dyDescent="0.2">
      <c r="A22" s="91">
        <v>1990</v>
      </c>
      <c r="B22" s="84">
        <v>214300</v>
      </c>
      <c r="C22" s="84">
        <v>70</v>
      </c>
      <c r="D22" s="84">
        <v>600</v>
      </c>
      <c r="E22" s="84">
        <v>52600</v>
      </c>
      <c r="F22" s="84">
        <v>60</v>
      </c>
      <c r="G22" s="84">
        <v>117200</v>
      </c>
    </row>
    <row r="23" spans="1:7" s="91" customFormat="1" x14ac:dyDescent="0.2">
      <c r="A23" s="91">
        <v>1991</v>
      </c>
      <c r="B23" s="84">
        <v>165300</v>
      </c>
      <c r="C23" s="84">
        <v>74</v>
      </c>
      <c r="D23" s="84">
        <v>614</v>
      </c>
      <c r="E23" s="84">
        <v>35300</v>
      </c>
      <c r="F23" s="84">
        <v>60</v>
      </c>
      <c r="G23" s="84">
        <v>133600</v>
      </c>
    </row>
    <row r="24" spans="1:7" s="91" customFormat="1" x14ac:dyDescent="0.2">
      <c r="A24" s="91">
        <v>1992</v>
      </c>
      <c r="B24" s="84">
        <v>110200</v>
      </c>
      <c r="C24" s="84">
        <v>75</v>
      </c>
      <c r="D24" s="84">
        <v>586</v>
      </c>
      <c r="E24" s="84">
        <v>31100</v>
      </c>
      <c r="F24" s="84">
        <v>68</v>
      </c>
      <c r="G24" s="84">
        <v>118400</v>
      </c>
    </row>
    <row r="25" spans="1:7" s="91" customFormat="1" x14ac:dyDescent="0.2">
      <c r="A25" s="91">
        <v>1993</v>
      </c>
      <c r="B25" s="84">
        <v>77200</v>
      </c>
      <c r="C25" s="84">
        <v>81</v>
      </c>
      <c r="D25" s="84">
        <v>573</v>
      </c>
      <c r="E25" s="84">
        <v>32000</v>
      </c>
      <c r="F25" s="84">
        <v>76</v>
      </c>
      <c r="G25" s="84">
        <v>112400</v>
      </c>
    </row>
    <row r="26" spans="1:7" s="91" customFormat="1" x14ac:dyDescent="0.2">
      <c r="A26" s="91">
        <v>1994</v>
      </c>
      <c r="B26" s="84">
        <v>104000</v>
      </c>
      <c r="C26" s="84">
        <v>72</v>
      </c>
      <c r="D26" s="84">
        <v>576</v>
      </c>
      <c r="E26" s="84">
        <v>34400</v>
      </c>
      <c r="F26" s="84">
        <v>77</v>
      </c>
      <c r="G26" s="84">
        <v>104000</v>
      </c>
    </row>
    <row r="27" spans="1:7" s="91" customFormat="1" x14ac:dyDescent="0.2">
      <c r="A27" s="91">
        <v>1995</v>
      </c>
      <c r="B27" s="84">
        <v>155000</v>
      </c>
      <c r="C27" s="84">
        <v>72</v>
      </c>
      <c r="D27" s="84">
        <v>655</v>
      </c>
      <c r="E27" s="84">
        <v>36400</v>
      </c>
      <c r="F27" s="84">
        <v>74</v>
      </c>
      <c r="G27" s="84">
        <v>114000</v>
      </c>
    </row>
    <row r="28" spans="1:7" s="91" customFormat="1" x14ac:dyDescent="0.2">
      <c r="A28" s="91">
        <v>1996</v>
      </c>
      <c r="B28" s="84">
        <v>191300</v>
      </c>
      <c r="C28" s="84">
        <v>74</v>
      </c>
      <c r="D28" s="84">
        <v>672</v>
      </c>
      <c r="E28" s="84">
        <v>36900</v>
      </c>
      <c r="F28" s="84">
        <v>80</v>
      </c>
      <c r="G28" s="84">
        <v>115800</v>
      </c>
    </row>
    <row r="29" spans="1:7" s="91" customFormat="1" x14ac:dyDescent="0.2">
      <c r="A29" s="91">
        <v>1997</v>
      </c>
      <c r="B29" s="84">
        <v>189200</v>
      </c>
      <c r="C29" s="84">
        <v>73</v>
      </c>
      <c r="D29" s="84">
        <v>724</v>
      </c>
      <c r="E29" s="84">
        <v>35800</v>
      </c>
      <c r="F29" s="84">
        <v>80</v>
      </c>
      <c r="G29" s="84">
        <v>118900</v>
      </c>
    </row>
    <row r="30" spans="1:7" s="91" customFormat="1" x14ac:dyDescent="0.2">
      <c r="A30" s="91">
        <v>1998</v>
      </c>
      <c r="B30" s="84">
        <v>209900</v>
      </c>
      <c r="C30" s="84">
        <v>72</v>
      </c>
      <c r="D30" s="84">
        <v>734</v>
      </c>
      <c r="E30" s="84">
        <v>34500</v>
      </c>
      <c r="F30" s="84">
        <v>79</v>
      </c>
      <c r="G30" s="84">
        <v>118800</v>
      </c>
    </row>
    <row r="31" spans="1:7" s="91" customFormat="1" x14ac:dyDescent="0.2">
      <c r="A31" s="91">
        <v>1999</v>
      </c>
      <c r="B31" s="84">
        <v>225900</v>
      </c>
      <c r="C31" s="84">
        <v>72</v>
      </c>
      <c r="D31" s="84">
        <v>791</v>
      </c>
      <c r="E31" s="84">
        <v>34200</v>
      </c>
      <c r="F31" s="84">
        <v>75</v>
      </c>
      <c r="G31" s="84">
        <v>127600</v>
      </c>
    </row>
    <row r="32" spans="1:7" s="91" customFormat="1" x14ac:dyDescent="0.2">
      <c r="A32" s="91">
        <v>2000</v>
      </c>
      <c r="B32" s="84">
        <v>226200</v>
      </c>
      <c r="C32" s="84">
        <v>72</v>
      </c>
      <c r="D32" s="84">
        <v>841</v>
      </c>
      <c r="E32" s="84">
        <v>36100</v>
      </c>
      <c r="F32" s="84">
        <v>78</v>
      </c>
      <c r="G32" s="84">
        <v>144400</v>
      </c>
    </row>
    <row r="33" spans="1:17" s="91" customFormat="1" x14ac:dyDescent="0.2">
      <c r="A33" s="91">
        <v>2001</v>
      </c>
      <c r="B33" s="84">
        <v>193100</v>
      </c>
      <c r="C33" s="84">
        <v>63</v>
      </c>
      <c r="D33" s="84">
        <v>881</v>
      </c>
      <c r="E33" s="84">
        <v>45700</v>
      </c>
      <c r="F33" s="84">
        <v>73</v>
      </c>
      <c r="G33" s="84">
        <v>183200</v>
      </c>
    </row>
    <row r="34" spans="1:17" s="91" customFormat="1" x14ac:dyDescent="0.2">
      <c r="A34" s="91">
        <v>2002</v>
      </c>
      <c r="B34" s="84">
        <v>204100</v>
      </c>
      <c r="C34" s="84">
        <v>59</v>
      </c>
      <c r="D34" s="84">
        <v>918</v>
      </c>
      <c r="E34" s="84">
        <v>37400</v>
      </c>
      <c r="F34" s="84">
        <v>73</v>
      </c>
      <c r="G34" s="84">
        <v>199400</v>
      </c>
    </row>
    <row r="35" spans="1:17" s="91" customFormat="1" x14ac:dyDescent="0.2">
      <c r="A35" s="91">
        <v>2003</v>
      </c>
      <c r="B35" s="84">
        <v>166500</v>
      </c>
      <c r="C35" s="84">
        <v>61</v>
      </c>
      <c r="D35" s="84">
        <v>931</v>
      </c>
      <c r="E35" s="84">
        <v>41100</v>
      </c>
      <c r="F35" s="84">
        <v>74</v>
      </c>
      <c r="G35" s="84">
        <v>230200</v>
      </c>
    </row>
    <row r="36" spans="1:17" s="91" customFormat="1" x14ac:dyDescent="0.2">
      <c r="A36" s="91">
        <v>2004</v>
      </c>
      <c r="B36" s="84">
        <v>153800</v>
      </c>
      <c r="C36" s="84">
        <v>62</v>
      </c>
      <c r="D36" s="84">
        <v>976</v>
      </c>
      <c r="E36" s="84">
        <v>61400</v>
      </c>
      <c r="F36" s="84">
        <v>73</v>
      </c>
      <c r="G36" s="84">
        <v>270400</v>
      </c>
    </row>
    <row r="37" spans="1:17" s="91" customFormat="1" x14ac:dyDescent="0.2">
      <c r="A37" s="91">
        <v>2005</v>
      </c>
      <c r="B37" s="84">
        <v>113000</v>
      </c>
      <c r="C37" s="84">
        <v>63</v>
      </c>
      <c r="D37" s="84">
        <v>942</v>
      </c>
      <c r="E37" s="84">
        <v>81900</v>
      </c>
      <c r="F37" s="84">
        <v>76</v>
      </c>
      <c r="G37" s="84">
        <v>310700</v>
      </c>
    </row>
    <row r="38" spans="1:17" s="91" customFormat="1" x14ac:dyDescent="0.2">
      <c r="A38" s="91">
        <v>2006</v>
      </c>
      <c r="B38" s="84">
        <v>116400</v>
      </c>
      <c r="C38" s="84">
        <v>58</v>
      </c>
      <c r="D38" s="84">
        <v>1034</v>
      </c>
      <c r="E38" s="84">
        <v>104600</v>
      </c>
      <c r="F38" s="84">
        <v>66</v>
      </c>
      <c r="G38" s="84">
        <v>327200</v>
      </c>
    </row>
    <row r="39" spans="1:17" s="91" customFormat="1" x14ac:dyDescent="0.2">
      <c r="A39" s="91">
        <v>2007</v>
      </c>
      <c r="B39" s="84">
        <v>104800</v>
      </c>
      <c r="C39" s="84">
        <v>54</v>
      </c>
      <c r="D39" s="84">
        <v>1023</v>
      </c>
      <c r="E39" s="84">
        <v>91000</v>
      </c>
      <c r="F39" s="84">
        <v>61</v>
      </c>
      <c r="G39" s="84">
        <v>350000</v>
      </c>
    </row>
    <row r="40" spans="1:17" s="91" customFormat="1" x14ac:dyDescent="0.2">
      <c r="A40" s="91">
        <v>2008</v>
      </c>
      <c r="B40" s="84">
        <v>146800</v>
      </c>
      <c r="C40" s="84">
        <v>50</v>
      </c>
      <c r="D40" s="84">
        <v>1095</v>
      </c>
      <c r="E40" s="84">
        <v>69800</v>
      </c>
      <c r="F40" s="84">
        <v>49</v>
      </c>
      <c r="G40" s="84">
        <v>350000</v>
      </c>
    </row>
    <row r="41" spans="1:17" s="91" customFormat="1" x14ac:dyDescent="0.2">
      <c r="A41" s="91">
        <v>2009</v>
      </c>
      <c r="B41" s="84">
        <v>163000</v>
      </c>
      <c r="C41" s="84">
        <v>51</v>
      </c>
      <c r="D41" s="84">
        <v>1064</v>
      </c>
      <c r="E41" s="84">
        <v>38200</v>
      </c>
      <c r="F41" s="84">
        <v>40</v>
      </c>
      <c r="G41" s="84">
        <v>400000</v>
      </c>
    </row>
    <row r="42" spans="1:17" s="91" customFormat="1" x14ac:dyDescent="0.2">
      <c r="A42" s="91">
        <v>2010</v>
      </c>
      <c r="B42" s="84">
        <v>89100</v>
      </c>
      <c r="C42" s="84">
        <v>61</v>
      </c>
      <c r="D42" s="84">
        <v>1077</v>
      </c>
      <c r="E42" s="84">
        <v>18600</v>
      </c>
      <c r="F42" s="84">
        <v>43</v>
      </c>
      <c r="G42" s="84">
        <v>400000</v>
      </c>
    </row>
    <row r="43" spans="1:17" s="91" customFormat="1" x14ac:dyDescent="0.2">
      <c r="A43" s="91">
        <v>2011</v>
      </c>
      <c r="B43" s="84">
        <v>74700</v>
      </c>
      <c r="C43" s="84">
        <v>59</v>
      </c>
      <c r="D43" s="84">
        <v>1084</v>
      </c>
      <c r="E43" s="84">
        <v>11000</v>
      </c>
      <c r="F43" s="84">
        <v>57</v>
      </c>
      <c r="G43" s="84">
        <v>450000</v>
      </c>
    </row>
    <row r="44" spans="1:17" x14ac:dyDescent="0.2">
      <c r="A44" s="91">
        <v>2012</v>
      </c>
      <c r="B44" s="84">
        <v>104500</v>
      </c>
      <c r="C44" s="84">
        <v>63</v>
      </c>
      <c r="D44" s="84">
        <v>1090</v>
      </c>
      <c r="E44" s="84">
        <v>6520</v>
      </c>
      <c r="F44" s="84">
        <v>66</v>
      </c>
      <c r="G44" s="84">
        <v>363500</v>
      </c>
      <c r="H44" s="85"/>
      <c r="I44" s="85"/>
      <c r="K44" s="85"/>
      <c r="L44" s="122"/>
      <c r="M44" s="157"/>
      <c r="N44" s="85"/>
      <c r="O44" s="85"/>
      <c r="P44" s="85"/>
      <c r="Q44" s="125"/>
    </row>
    <row r="45" spans="1:17" x14ac:dyDescent="0.2">
      <c r="A45" s="91">
        <v>2013</v>
      </c>
      <c r="B45" s="84">
        <v>134200</v>
      </c>
      <c r="C45" s="84">
        <v>63</v>
      </c>
      <c r="D45" s="84">
        <v>1286</v>
      </c>
      <c r="E45" s="84">
        <v>7400</v>
      </c>
      <c r="F45" s="84">
        <v>82</v>
      </c>
      <c r="G45" s="84">
        <v>323000</v>
      </c>
    </row>
    <row r="46" spans="1:17" x14ac:dyDescent="0.2">
      <c r="A46" s="91">
        <v>2014</v>
      </c>
      <c r="B46" s="84">
        <v>218500</v>
      </c>
      <c r="C46" s="84">
        <v>61</v>
      </c>
      <c r="D46" s="84">
        <v>1386</v>
      </c>
      <c r="E46" s="84">
        <v>7038</v>
      </c>
      <c r="F46" s="84">
        <v>73</v>
      </c>
      <c r="G46" s="84">
        <v>389200</v>
      </c>
    </row>
    <row r="47" spans="1:17" x14ac:dyDescent="0.2">
      <c r="A47" s="91">
        <v>2015</v>
      </c>
      <c r="B47" s="84">
        <v>268300</v>
      </c>
      <c r="C47" s="84">
        <v>60</v>
      </c>
      <c r="D47" s="84">
        <v>1398</v>
      </c>
      <c r="E47" s="84">
        <v>11350</v>
      </c>
      <c r="F47" s="84">
        <v>64</v>
      </c>
      <c r="G47" s="84">
        <v>455400</v>
      </c>
    </row>
    <row r="48" spans="1:17" x14ac:dyDescent="0.2">
      <c r="A48" s="91">
        <v>2016</v>
      </c>
      <c r="B48" s="84">
        <v>266300</v>
      </c>
      <c r="C48" s="84">
        <v>55</v>
      </c>
      <c r="D48" s="84">
        <v>1488</v>
      </c>
      <c r="E48" s="84">
        <v>20610</v>
      </c>
      <c r="F48" s="84">
        <v>56</v>
      </c>
      <c r="G48" s="84">
        <v>700000</v>
      </c>
    </row>
    <row r="49" spans="1:9" x14ac:dyDescent="0.2">
      <c r="A49" s="91">
        <v>2017</v>
      </c>
      <c r="B49" s="84">
        <v>294800</v>
      </c>
      <c r="C49" s="84">
        <v>54</v>
      </c>
      <c r="D49" s="84">
        <v>1553</v>
      </c>
      <c r="E49" s="84">
        <v>15020</v>
      </c>
      <c r="F49" s="84">
        <v>67</v>
      </c>
      <c r="G49" s="84">
        <v>521200</v>
      </c>
    </row>
    <row r="50" spans="1:9" x14ac:dyDescent="0.2">
      <c r="A50" s="91">
        <v>2018</v>
      </c>
      <c r="B50" s="84">
        <v>277800</v>
      </c>
      <c r="C50" s="84">
        <v>54</v>
      </c>
      <c r="D50" s="84">
        <v>1625</v>
      </c>
      <c r="E50" s="84">
        <v>23940</v>
      </c>
      <c r="F50" s="84">
        <v>63</v>
      </c>
      <c r="G50" s="84">
        <v>586300</v>
      </c>
    </row>
    <row r="51" spans="1:9" x14ac:dyDescent="0.2">
      <c r="A51" s="91">
        <v>2019</v>
      </c>
      <c r="B51" s="84">
        <v>279800</v>
      </c>
      <c r="C51" s="84">
        <v>56</v>
      </c>
      <c r="D51" s="84">
        <v>1653</v>
      </c>
      <c r="E51" s="84">
        <v>22900</v>
      </c>
      <c r="F51" s="84">
        <v>63</v>
      </c>
      <c r="G51" s="84">
        <v>505400</v>
      </c>
    </row>
    <row r="52" spans="1:9" x14ac:dyDescent="0.2">
      <c r="A52" s="91">
        <v>2020</v>
      </c>
      <c r="B52" s="84">
        <v>301400</v>
      </c>
      <c r="C52" s="84">
        <v>51</v>
      </c>
      <c r="D52" s="84">
        <v>1611</v>
      </c>
      <c r="E52" s="84">
        <v>18780</v>
      </c>
      <c r="F52" s="84">
        <v>67</v>
      </c>
      <c r="G52" s="84">
        <v>646700</v>
      </c>
    </row>
    <row r="53" spans="1:9" x14ac:dyDescent="0.2">
      <c r="A53" s="91">
        <v>2021</v>
      </c>
      <c r="B53" s="84">
        <v>305200</v>
      </c>
      <c r="C53" s="84">
        <v>69</v>
      </c>
      <c r="D53" s="84">
        <v>1744</v>
      </c>
      <c r="E53" s="84">
        <v>15040</v>
      </c>
      <c r="F53" s="84">
        <v>74</v>
      </c>
      <c r="G53" s="84">
        <v>618800</v>
      </c>
    </row>
    <row r="54" spans="1:9" x14ac:dyDescent="0.2">
      <c r="A54" s="84">
        <v>2022</v>
      </c>
      <c r="B54" s="84">
        <v>294400</v>
      </c>
      <c r="C54" s="84">
        <v>62</v>
      </c>
      <c r="D54" s="84">
        <v>1829</v>
      </c>
      <c r="E54" s="84">
        <v>17820</v>
      </c>
      <c r="F54" s="84">
        <v>76</v>
      </c>
      <c r="G54" s="84">
        <v>688000</v>
      </c>
      <c r="I54" s="91"/>
    </row>
    <row r="55" spans="1:9" x14ac:dyDescent="0.2">
      <c r="A55" s="84">
        <v>2023</v>
      </c>
      <c r="B55" s="84">
        <v>354600</v>
      </c>
      <c r="C55" s="84">
        <v>53</v>
      </c>
      <c r="D55" s="84">
        <v>1796</v>
      </c>
      <c r="E55" s="84">
        <v>15970</v>
      </c>
      <c r="F55" s="84">
        <v>73</v>
      </c>
      <c r="G55" s="84">
        <v>560000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78"/>
  <sheetViews>
    <sheetView workbookViewId="0">
      <pane xSplit="1" ySplit="1" topLeftCell="B562" activePane="bottomRight" state="frozen"/>
      <selection pane="topRight" activeCell="B1" sqref="B1"/>
      <selection pane="bottomLeft" activeCell="A2" sqref="A2"/>
      <selection pane="bottomRight" activeCell="J578" sqref="J578"/>
    </sheetView>
  </sheetViews>
  <sheetFormatPr defaultRowHeight="14.25" x14ac:dyDescent="0.2"/>
  <cols>
    <col min="1" max="1" width="18.42578125" style="4" customWidth="1"/>
    <col min="2" max="2" width="15.42578125" style="1" customWidth="1"/>
    <col min="3" max="3" width="17.5703125" style="1" customWidth="1"/>
    <col min="4" max="4" width="15.7109375" style="1" customWidth="1"/>
    <col min="5" max="5" width="14.7109375" style="1" customWidth="1"/>
    <col min="6" max="6" width="17.42578125" style="1" customWidth="1"/>
    <col min="7" max="7" width="13.42578125" style="1" customWidth="1"/>
    <col min="8" max="254" width="9.28515625" style="1"/>
    <col min="255" max="255" width="18.42578125" style="1" customWidth="1"/>
    <col min="256" max="256" width="21.42578125" style="1" customWidth="1"/>
    <col min="257" max="510" width="9.28515625" style="1"/>
    <col min="511" max="511" width="18.42578125" style="1" customWidth="1"/>
    <col min="512" max="512" width="21.42578125" style="1" customWidth="1"/>
    <col min="513" max="766" width="9.28515625" style="1"/>
    <col min="767" max="767" width="18.42578125" style="1" customWidth="1"/>
    <col min="768" max="768" width="21.42578125" style="1" customWidth="1"/>
    <col min="769" max="1022" width="9.28515625" style="1"/>
    <col min="1023" max="1023" width="18.42578125" style="1" customWidth="1"/>
    <col min="1024" max="1024" width="21.42578125" style="1" customWidth="1"/>
    <col min="1025" max="1278" width="9.28515625" style="1"/>
    <col min="1279" max="1279" width="18.42578125" style="1" customWidth="1"/>
    <col min="1280" max="1280" width="21.42578125" style="1" customWidth="1"/>
    <col min="1281" max="1534" width="9.28515625" style="1"/>
    <col min="1535" max="1535" width="18.42578125" style="1" customWidth="1"/>
    <col min="1536" max="1536" width="21.42578125" style="1" customWidth="1"/>
    <col min="1537" max="1790" width="9.28515625" style="1"/>
    <col min="1791" max="1791" width="18.42578125" style="1" customWidth="1"/>
    <col min="1792" max="1792" width="21.42578125" style="1" customWidth="1"/>
    <col min="1793" max="2046" width="9.28515625" style="1"/>
    <col min="2047" max="2047" width="18.42578125" style="1" customWidth="1"/>
    <col min="2048" max="2048" width="21.42578125" style="1" customWidth="1"/>
    <col min="2049" max="2302" width="9.28515625" style="1"/>
    <col min="2303" max="2303" width="18.42578125" style="1" customWidth="1"/>
    <col min="2304" max="2304" width="21.42578125" style="1" customWidth="1"/>
    <col min="2305" max="2558" width="9.28515625" style="1"/>
    <col min="2559" max="2559" width="18.42578125" style="1" customWidth="1"/>
    <col min="2560" max="2560" width="21.42578125" style="1" customWidth="1"/>
    <col min="2561" max="2814" width="9.28515625" style="1"/>
    <col min="2815" max="2815" width="18.42578125" style="1" customWidth="1"/>
    <col min="2816" max="2816" width="21.42578125" style="1" customWidth="1"/>
    <col min="2817" max="3070" width="9.28515625" style="1"/>
    <col min="3071" max="3071" width="18.42578125" style="1" customWidth="1"/>
    <col min="3072" max="3072" width="21.42578125" style="1" customWidth="1"/>
    <col min="3073" max="3326" width="9.28515625" style="1"/>
    <col min="3327" max="3327" width="18.42578125" style="1" customWidth="1"/>
    <col min="3328" max="3328" width="21.42578125" style="1" customWidth="1"/>
    <col min="3329" max="3582" width="9.28515625" style="1"/>
    <col min="3583" max="3583" width="18.42578125" style="1" customWidth="1"/>
    <col min="3584" max="3584" width="21.42578125" style="1" customWidth="1"/>
    <col min="3585" max="3838" width="9.28515625" style="1"/>
    <col min="3839" max="3839" width="18.42578125" style="1" customWidth="1"/>
    <col min="3840" max="3840" width="21.42578125" style="1" customWidth="1"/>
    <col min="3841" max="4094" width="9.28515625" style="1"/>
    <col min="4095" max="4095" width="18.42578125" style="1" customWidth="1"/>
    <col min="4096" max="4096" width="21.42578125" style="1" customWidth="1"/>
    <col min="4097" max="4350" width="9.28515625" style="1"/>
    <col min="4351" max="4351" width="18.42578125" style="1" customWidth="1"/>
    <col min="4352" max="4352" width="21.42578125" style="1" customWidth="1"/>
    <col min="4353" max="4606" width="9.28515625" style="1"/>
    <col min="4607" max="4607" width="18.42578125" style="1" customWidth="1"/>
    <col min="4608" max="4608" width="21.42578125" style="1" customWidth="1"/>
    <col min="4609" max="4862" width="9.28515625" style="1"/>
    <col min="4863" max="4863" width="18.42578125" style="1" customWidth="1"/>
    <col min="4864" max="4864" width="21.42578125" style="1" customWidth="1"/>
    <col min="4865" max="5118" width="9.28515625" style="1"/>
    <col min="5119" max="5119" width="18.42578125" style="1" customWidth="1"/>
    <col min="5120" max="5120" width="21.42578125" style="1" customWidth="1"/>
    <col min="5121" max="5374" width="9.28515625" style="1"/>
    <col min="5375" max="5375" width="18.42578125" style="1" customWidth="1"/>
    <col min="5376" max="5376" width="21.42578125" style="1" customWidth="1"/>
    <col min="5377" max="5630" width="9.28515625" style="1"/>
    <col min="5631" max="5631" width="18.42578125" style="1" customWidth="1"/>
    <col min="5632" max="5632" width="21.42578125" style="1" customWidth="1"/>
    <col min="5633" max="5886" width="9.28515625" style="1"/>
    <col min="5887" max="5887" width="18.42578125" style="1" customWidth="1"/>
    <col min="5888" max="5888" width="21.42578125" style="1" customWidth="1"/>
    <col min="5889" max="6142" width="9.28515625" style="1"/>
    <col min="6143" max="6143" width="18.42578125" style="1" customWidth="1"/>
    <col min="6144" max="6144" width="21.42578125" style="1" customWidth="1"/>
    <col min="6145" max="6398" width="9.28515625" style="1"/>
    <col min="6399" max="6399" width="18.42578125" style="1" customWidth="1"/>
    <col min="6400" max="6400" width="21.42578125" style="1" customWidth="1"/>
    <col min="6401" max="6654" width="9.28515625" style="1"/>
    <col min="6655" max="6655" width="18.42578125" style="1" customWidth="1"/>
    <col min="6656" max="6656" width="21.42578125" style="1" customWidth="1"/>
    <col min="6657" max="6910" width="9.28515625" style="1"/>
    <col min="6911" max="6911" width="18.42578125" style="1" customWidth="1"/>
    <col min="6912" max="6912" width="21.42578125" style="1" customWidth="1"/>
    <col min="6913" max="7166" width="9.28515625" style="1"/>
    <col min="7167" max="7167" width="18.42578125" style="1" customWidth="1"/>
    <col min="7168" max="7168" width="21.42578125" style="1" customWidth="1"/>
    <col min="7169" max="7422" width="9.28515625" style="1"/>
    <col min="7423" max="7423" width="18.42578125" style="1" customWidth="1"/>
    <col min="7424" max="7424" width="21.42578125" style="1" customWidth="1"/>
    <col min="7425" max="7678" width="9.28515625" style="1"/>
    <col min="7679" max="7679" width="18.42578125" style="1" customWidth="1"/>
    <col min="7680" max="7680" width="21.42578125" style="1" customWidth="1"/>
    <col min="7681" max="7934" width="9.28515625" style="1"/>
    <col min="7935" max="7935" width="18.42578125" style="1" customWidth="1"/>
    <col min="7936" max="7936" width="21.42578125" style="1" customWidth="1"/>
    <col min="7937" max="8190" width="9.28515625" style="1"/>
    <col min="8191" max="8191" width="18.42578125" style="1" customWidth="1"/>
    <col min="8192" max="8192" width="21.42578125" style="1" customWidth="1"/>
    <col min="8193" max="8446" width="9.28515625" style="1"/>
    <col min="8447" max="8447" width="18.42578125" style="1" customWidth="1"/>
    <col min="8448" max="8448" width="21.42578125" style="1" customWidth="1"/>
    <col min="8449" max="8702" width="9.28515625" style="1"/>
    <col min="8703" max="8703" width="18.42578125" style="1" customWidth="1"/>
    <col min="8704" max="8704" width="21.42578125" style="1" customWidth="1"/>
    <col min="8705" max="8958" width="9.28515625" style="1"/>
    <col min="8959" max="8959" width="18.42578125" style="1" customWidth="1"/>
    <col min="8960" max="8960" width="21.42578125" style="1" customWidth="1"/>
    <col min="8961" max="9214" width="9.28515625" style="1"/>
    <col min="9215" max="9215" width="18.42578125" style="1" customWidth="1"/>
    <col min="9216" max="9216" width="21.42578125" style="1" customWidth="1"/>
    <col min="9217" max="9470" width="9.28515625" style="1"/>
    <col min="9471" max="9471" width="18.42578125" style="1" customWidth="1"/>
    <col min="9472" max="9472" width="21.42578125" style="1" customWidth="1"/>
    <col min="9473" max="9726" width="9.28515625" style="1"/>
    <col min="9727" max="9727" width="18.42578125" style="1" customWidth="1"/>
    <col min="9728" max="9728" width="21.42578125" style="1" customWidth="1"/>
    <col min="9729" max="9982" width="9.28515625" style="1"/>
    <col min="9983" max="9983" width="18.42578125" style="1" customWidth="1"/>
    <col min="9984" max="9984" width="21.42578125" style="1" customWidth="1"/>
    <col min="9985" max="10238" width="9.28515625" style="1"/>
    <col min="10239" max="10239" width="18.42578125" style="1" customWidth="1"/>
    <col min="10240" max="10240" width="21.42578125" style="1" customWidth="1"/>
    <col min="10241" max="10494" width="9.28515625" style="1"/>
    <col min="10495" max="10495" width="18.42578125" style="1" customWidth="1"/>
    <col min="10496" max="10496" width="21.42578125" style="1" customWidth="1"/>
    <col min="10497" max="10750" width="9.28515625" style="1"/>
    <col min="10751" max="10751" width="18.42578125" style="1" customWidth="1"/>
    <col min="10752" max="10752" width="21.42578125" style="1" customWidth="1"/>
    <col min="10753" max="11006" width="9.28515625" style="1"/>
    <col min="11007" max="11007" width="18.42578125" style="1" customWidth="1"/>
    <col min="11008" max="11008" width="21.42578125" style="1" customWidth="1"/>
    <col min="11009" max="11262" width="9.28515625" style="1"/>
    <col min="11263" max="11263" width="18.42578125" style="1" customWidth="1"/>
    <col min="11264" max="11264" width="21.42578125" style="1" customWidth="1"/>
    <col min="11265" max="11518" width="9.28515625" style="1"/>
    <col min="11519" max="11519" width="18.42578125" style="1" customWidth="1"/>
    <col min="11520" max="11520" width="21.42578125" style="1" customWidth="1"/>
    <col min="11521" max="11774" width="9.28515625" style="1"/>
    <col min="11775" max="11775" width="18.42578125" style="1" customWidth="1"/>
    <col min="11776" max="11776" width="21.42578125" style="1" customWidth="1"/>
    <col min="11777" max="12030" width="9.28515625" style="1"/>
    <col min="12031" max="12031" width="18.42578125" style="1" customWidth="1"/>
    <col min="12032" max="12032" width="21.42578125" style="1" customWidth="1"/>
    <col min="12033" max="12286" width="9.28515625" style="1"/>
    <col min="12287" max="12287" width="18.42578125" style="1" customWidth="1"/>
    <col min="12288" max="12288" width="21.42578125" style="1" customWidth="1"/>
    <col min="12289" max="12542" width="9.28515625" style="1"/>
    <col min="12543" max="12543" width="18.42578125" style="1" customWidth="1"/>
    <col min="12544" max="12544" width="21.42578125" style="1" customWidth="1"/>
    <col min="12545" max="12798" width="9.28515625" style="1"/>
    <col min="12799" max="12799" width="18.42578125" style="1" customWidth="1"/>
    <col min="12800" max="12800" width="21.42578125" style="1" customWidth="1"/>
    <col min="12801" max="13054" width="9.28515625" style="1"/>
    <col min="13055" max="13055" width="18.42578125" style="1" customWidth="1"/>
    <col min="13056" max="13056" width="21.42578125" style="1" customWidth="1"/>
    <col min="13057" max="13310" width="9.28515625" style="1"/>
    <col min="13311" max="13311" width="18.42578125" style="1" customWidth="1"/>
    <col min="13312" max="13312" width="21.42578125" style="1" customWidth="1"/>
    <col min="13313" max="13566" width="9.28515625" style="1"/>
    <col min="13567" max="13567" width="18.42578125" style="1" customWidth="1"/>
    <col min="13568" max="13568" width="21.42578125" style="1" customWidth="1"/>
    <col min="13569" max="13822" width="9.28515625" style="1"/>
    <col min="13823" max="13823" width="18.42578125" style="1" customWidth="1"/>
    <col min="13824" max="13824" width="21.42578125" style="1" customWidth="1"/>
    <col min="13825" max="14078" width="9.28515625" style="1"/>
    <col min="14079" max="14079" width="18.42578125" style="1" customWidth="1"/>
    <col min="14080" max="14080" width="21.42578125" style="1" customWidth="1"/>
    <col min="14081" max="14334" width="9.28515625" style="1"/>
    <col min="14335" max="14335" width="18.42578125" style="1" customWidth="1"/>
    <col min="14336" max="14336" width="21.42578125" style="1" customWidth="1"/>
    <col min="14337" max="14590" width="9.28515625" style="1"/>
    <col min="14591" max="14591" width="18.42578125" style="1" customWidth="1"/>
    <col min="14592" max="14592" width="21.42578125" style="1" customWidth="1"/>
    <col min="14593" max="14846" width="9.28515625" style="1"/>
    <col min="14847" max="14847" width="18.42578125" style="1" customWidth="1"/>
    <col min="14848" max="14848" width="21.42578125" style="1" customWidth="1"/>
    <col min="14849" max="15102" width="9.28515625" style="1"/>
    <col min="15103" max="15103" width="18.42578125" style="1" customWidth="1"/>
    <col min="15104" max="15104" width="21.42578125" style="1" customWidth="1"/>
    <col min="15105" max="15358" width="9.28515625" style="1"/>
    <col min="15359" max="15359" width="18.42578125" style="1" customWidth="1"/>
    <col min="15360" max="15360" width="21.42578125" style="1" customWidth="1"/>
    <col min="15361" max="15614" width="9.28515625" style="1"/>
    <col min="15615" max="15615" width="18.42578125" style="1" customWidth="1"/>
    <col min="15616" max="15616" width="21.42578125" style="1" customWidth="1"/>
    <col min="15617" max="15870" width="9.28515625" style="1"/>
    <col min="15871" max="15871" width="18.42578125" style="1" customWidth="1"/>
    <col min="15872" max="15872" width="21.42578125" style="1" customWidth="1"/>
    <col min="15873" max="16126" width="9.28515625" style="1"/>
    <col min="16127" max="16127" width="18.42578125" style="1" customWidth="1"/>
    <col min="16128" max="16128" width="21.42578125" style="1" customWidth="1"/>
    <col min="16129" max="16384" width="9.28515625" style="1"/>
  </cols>
  <sheetData>
    <row r="1" spans="1:17" s="3" customFormat="1" ht="29.1" customHeight="1" x14ac:dyDescent="0.2">
      <c r="A1" s="2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</row>
    <row r="2" spans="1:17" s="3" customFormat="1" ht="18" customHeight="1" x14ac:dyDescent="0.2">
      <c r="A2" s="4">
        <v>28491</v>
      </c>
      <c r="N2" s="1"/>
      <c r="O2" s="1"/>
      <c r="P2" s="1"/>
      <c r="Q2" s="1"/>
    </row>
    <row r="3" spans="1:17" s="3" customFormat="1" ht="12.75" customHeight="1" x14ac:dyDescent="0.2">
      <c r="A3" s="4">
        <v>28522</v>
      </c>
      <c r="N3" s="1"/>
      <c r="O3" s="1"/>
      <c r="P3" s="1"/>
      <c r="Q3" s="1"/>
    </row>
    <row r="4" spans="1:17" s="3" customFormat="1" ht="18" customHeight="1" x14ac:dyDescent="0.2">
      <c r="A4" s="4">
        <v>28550</v>
      </c>
      <c r="N4" s="1"/>
      <c r="O4" s="1"/>
      <c r="P4" s="1"/>
      <c r="Q4" s="1"/>
    </row>
    <row r="5" spans="1:17" s="3" customFormat="1" ht="18" customHeight="1" x14ac:dyDescent="0.2">
      <c r="A5" s="4">
        <v>28581</v>
      </c>
    </row>
    <row r="6" spans="1:17" s="3" customFormat="1" ht="18" customHeight="1" x14ac:dyDescent="0.2">
      <c r="A6" s="4">
        <v>28611</v>
      </c>
      <c r="N6" s="1"/>
      <c r="O6" s="1"/>
      <c r="P6" s="1"/>
      <c r="Q6" s="1"/>
    </row>
    <row r="7" spans="1:17" s="3" customFormat="1" ht="18" customHeight="1" x14ac:dyDescent="0.2">
      <c r="A7" s="4">
        <v>28642</v>
      </c>
      <c r="N7" s="1"/>
      <c r="O7" s="1"/>
      <c r="P7" s="1"/>
      <c r="Q7" s="1"/>
    </row>
    <row r="8" spans="1:17" s="3" customFormat="1" ht="18" customHeight="1" x14ac:dyDescent="0.2">
      <c r="A8" s="4">
        <v>28672</v>
      </c>
      <c r="N8" s="1"/>
      <c r="O8" s="1"/>
      <c r="P8" s="1"/>
      <c r="Q8" s="1"/>
    </row>
    <row r="9" spans="1:17" s="3" customFormat="1" ht="18" customHeight="1" x14ac:dyDescent="0.2">
      <c r="A9" s="4">
        <v>28703</v>
      </c>
    </row>
    <row r="10" spans="1:17" s="3" customFormat="1" ht="18" customHeight="1" x14ac:dyDescent="0.2">
      <c r="A10" s="4">
        <v>28734</v>
      </c>
      <c r="N10" s="1"/>
      <c r="O10" s="1"/>
      <c r="P10" s="1"/>
      <c r="Q10" s="1"/>
    </row>
    <row r="11" spans="1:17" s="3" customFormat="1" ht="18" customHeight="1" x14ac:dyDescent="0.2">
      <c r="A11" s="4">
        <v>28764</v>
      </c>
      <c r="N11" s="1"/>
      <c r="O11" s="1"/>
      <c r="P11" s="1"/>
      <c r="Q11" s="1"/>
    </row>
    <row r="12" spans="1:17" s="3" customFormat="1" ht="18" customHeight="1" x14ac:dyDescent="0.2">
      <c r="A12" s="4">
        <v>28795</v>
      </c>
      <c r="N12" s="1"/>
      <c r="O12" s="1"/>
      <c r="P12" s="1"/>
      <c r="Q12" s="1"/>
    </row>
    <row r="13" spans="1:17" s="3" customFormat="1" ht="18" customHeight="1" x14ac:dyDescent="0.2">
      <c r="A13" s="4">
        <v>28825</v>
      </c>
    </row>
    <row r="14" spans="1:17" s="3" customFormat="1" ht="18" customHeight="1" x14ac:dyDescent="0.2">
      <c r="A14" s="4">
        <v>28856</v>
      </c>
      <c r="N14" s="1"/>
      <c r="O14" s="1"/>
      <c r="P14" s="1"/>
      <c r="Q14" s="1"/>
    </row>
    <row r="15" spans="1:17" s="3" customFormat="1" ht="18" customHeight="1" x14ac:dyDescent="0.2">
      <c r="A15" s="4">
        <v>28887</v>
      </c>
      <c r="N15" s="1"/>
      <c r="O15" s="1"/>
      <c r="P15" s="1"/>
      <c r="Q15" s="1"/>
    </row>
    <row r="16" spans="1:17" s="3" customFormat="1" ht="12.75" customHeight="1" x14ac:dyDescent="0.2">
      <c r="A16" s="4">
        <v>28915</v>
      </c>
      <c r="N16" s="1"/>
      <c r="O16" s="1"/>
      <c r="P16" s="1"/>
      <c r="Q16" s="1"/>
    </row>
    <row r="17" spans="1:17" s="3" customFormat="1" ht="12.75" customHeight="1" x14ac:dyDescent="0.2">
      <c r="A17" s="4">
        <v>28946</v>
      </c>
    </row>
    <row r="18" spans="1:17" s="3" customFormat="1" ht="12.75" customHeight="1" x14ac:dyDescent="0.2">
      <c r="A18" s="4">
        <v>28976</v>
      </c>
      <c r="N18" s="1"/>
      <c r="O18" s="1"/>
      <c r="P18" s="1"/>
      <c r="Q18" s="1"/>
    </row>
    <row r="19" spans="1:17" s="3" customFormat="1" ht="12.75" customHeight="1" x14ac:dyDescent="0.2">
      <c r="A19" s="4">
        <v>29007</v>
      </c>
      <c r="N19" s="1"/>
      <c r="O19" s="1"/>
      <c r="P19" s="1"/>
      <c r="Q19" s="1"/>
    </row>
    <row r="20" spans="1:17" s="3" customFormat="1" ht="18" customHeight="1" x14ac:dyDescent="0.2">
      <c r="A20" s="4">
        <v>29037</v>
      </c>
      <c r="N20" s="1"/>
      <c r="O20" s="1"/>
      <c r="P20" s="1"/>
      <c r="Q20" s="1"/>
    </row>
    <row r="21" spans="1:17" s="3" customFormat="1" ht="12.75" customHeight="1" x14ac:dyDescent="0.2">
      <c r="A21" s="4">
        <v>29068</v>
      </c>
    </row>
    <row r="22" spans="1:17" s="3" customFormat="1" ht="18" customHeight="1" x14ac:dyDescent="0.2">
      <c r="A22" s="4">
        <v>29099</v>
      </c>
      <c r="N22" s="1"/>
      <c r="O22" s="1"/>
      <c r="P22" s="1"/>
      <c r="Q22" s="1"/>
    </row>
    <row r="23" spans="1:17" s="3" customFormat="1" ht="18" customHeight="1" x14ac:dyDescent="0.2">
      <c r="A23" s="4">
        <v>29129</v>
      </c>
      <c r="N23" s="1"/>
      <c r="O23" s="1"/>
      <c r="P23" s="1"/>
      <c r="Q23" s="1"/>
    </row>
    <row r="24" spans="1:17" s="3" customFormat="1" ht="18" customHeight="1" x14ac:dyDescent="0.2">
      <c r="A24" s="4">
        <v>29160</v>
      </c>
      <c r="N24" s="1"/>
      <c r="O24" s="1"/>
      <c r="P24" s="1"/>
      <c r="Q24" s="1"/>
    </row>
    <row r="25" spans="1:17" s="3" customFormat="1" ht="18" customHeight="1" x14ac:dyDescent="0.2">
      <c r="A25" s="4">
        <v>29190</v>
      </c>
    </row>
    <row r="26" spans="1:17" s="3" customFormat="1" ht="18" customHeight="1" x14ac:dyDescent="0.2">
      <c r="A26" s="4">
        <v>29221</v>
      </c>
      <c r="B26" s="1">
        <v>269</v>
      </c>
      <c r="C26" s="1">
        <v>17</v>
      </c>
      <c r="D26" s="1">
        <v>37</v>
      </c>
      <c r="E26" s="1">
        <v>153</v>
      </c>
      <c r="F26" s="1">
        <v>62</v>
      </c>
      <c r="G26" s="1">
        <v>18500</v>
      </c>
      <c r="N26" s="1"/>
      <c r="O26" s="1"/>
      <c r="P26" s="1"/>
      <c r="Q26" s="1"/>
    </row>
    <row r="27" spans="1:17" s="3" customFormat="1" ht="18" customHeight="1" x14ac:dyDescent="0.2">
      <c r="A27" s="4">
        <v>29252</v>
      </c>
      <c r="B27" s="1">
        <v>245</v>
      </c>
      <c r="C27" s="1">
        <v>17</v>
      </c>
      <c r="D27" s="1">
        <v>36</v>
      </c>
      <c r="E27" s="1">
        <v>145</v>
      </c>
      <c r="F27" s="1">
        <v>47</v>
      </c>
      <c r="G27" s="1">
        <v>19500</v>
      </c>
      <c r="N27" s="1"/>
      <c r="O27" s="1"/>
      <c r="P27" s="1"/>
      <c r="Q27" s="1"/>
    </row>
    <row r="28" spans="1:17" s="3" customFormat="1" ht="18" customHeight="1" x14ac:dyDescent="0.2">
      <c r="A28" s="4">
        <v>29281</v>
      </c>
      <c r="B28" s="1">
        <v>247</v>
      </c>
      <c r="C28" s="1">
        <v>15</v>
      </c>
      <c r="D28" s="1">
        <v>39</v>
      </c>
      <c r="E28" s="1">
        <v>146</v>
      </c>
      <c r="F28" s="1">
        <v>47</v>
      </c>
      <c r="G28" s="1">
        <v>19500</v>
      </c>
      <c r="N28" s="1"/>
      <c r="O28" s="1"/>
      <c r="P28" s="1"/>
      <c r="Q28" s="1"/>
    </row>
    <row r="29" spans="1:17" s="3" customFormat="1" ht="18" customHeight="1" x14ac:dyDescent="0.2">
      <c r="A29" s="4">
        <v>29312</v>
      </c>
      <c r="B29" s="1">
        <v>223</v>
      </c>
      <c r="C29" s="1">
        <v>6</v>
      </c>
      <c r="D29" s="1">
        <v>36</v>
      </c>
      <c r="E29" s="1">
        <v>133</v>
      </c>
      <c r="F29" s="1">
        <v>48</v>
      </c>
      <c r="G29" s="1">
        <v>19600</v>
      </c>
    </row>
    <row r="30" spans="1:17" s="3" customFormat="1" ht="18" customHeight="1" x14ac:dyDescent="0.2">
      <c r="A30" s="4">
        <v>29342</v>
      </c>
      <c r="B30" s="1">
        <v>183</v>
      </c>
      <c r="C30" s="1">
        <v>10</v>
      </c>
      <c r="D30" s="1">
        <v>24</v>
      </c>
      <c r="E30" s="1">
        <v>107</v>
      </c>
      <c r="F30" s="1">
        <v>42</v>
      </c>
      <c r="G30" s="1">
        <v>18800</v>
      </c>
      <c r="N30" s="1"/>
      <c r="O30" s="1"/>
      <c r="P30" s="1"/>
      <c r="Q30" s="1"/>
    </row>
    <row r="31" spans="1:17" s="3" customFormat="1" ht="18" customHeight="1" x14ac:dyDescent="0.2">
      <c r="A31" s="4">
        <v>29373</v>
      </c>
      <c r="B31" s="1">
        <v>213</v>
      </c>
      <c r="C31" s="1">
        <v>9</v>
      </c>
      <c r="D31" s="1">
        <v>32</v>
      </c>
      <c r="E31" s="1">
        <v>131</v>
      </c>
      <c r="F31" s="1">
        <v>41</v>
      </c>
      <c r="G31" s="1">
        <v>20300</v>
      </c>
      <c r="N31" s="1"/>
      <c r="O31" s="1"/>
      <c r="P31" s="1"/>
      <c r="Q31" s="1"/>
    </row>
    <row r="32" spans="1:17" s="3" customFormat="1" ht="18" customHeight="1" x14ac:dyDescent="0.2">
      <c r="A32" s="4">
        <v>29403</v>
      </c>
      <c r="B32" s="1">
        <v>202</v>
      </c>
      <c r="C32" s="1">
        <v>11</v>
      </c>
      <c r="D32" s="1">
        <v>28</v>
      </c>
      <c r="E32" s="1">
        <v>117</v>
      </c>
      <c r="F32" s="1">
        <v>45</v>
      </c>
      <c r="G32" s="1">
        <v>19100</v>
      </c>
      <c r="N32" s="1"/>
      <c r="O32" s="1"/>
      <c r="P32" s="1"/>
      <c r="Q32" s="1"/>
    </row>
    <row r="33" spans="1:17" s="3" customFormat="1" ht="18" customHeight="1" x14ac:dyDescent="0.2">
      <c r="A33" s="4">
        <v>29434</v>
      </c>
      <c r="B33" s="1">
        <v>232</v>
      </c>
      <c r="C33" s="1">
        <v>14</v>
      </c>
      <c r="D33" s="1">
        <v>28</v>
      </c>
      <c r="E33" s="1">
        <v>143</v>
      </c>
      <c r="F33" s="1">
        <v>47</v>
      </c>
      <c r="G33" s="1">
        <v>19400</v>
      </c>
    </row>
    <row r="34" spans="1:17" s="3" customFormat="1" ht="12.75" customHeight="1" x14ac:dyDescent="0.2">
      <c r="A34" s="4">
        <v>29465</v>
      </c>
      <c r="B34" s="1">
        <v>243</v>
      </c>
      <c r="C34" s="1">
        <v>11</v>
      </c>
      <c r="D34" s="1">
        <v>35</v>
      </c>
      <c r="E34" s="1">
        <v>146</v>
      </c>
      <c r="F34" s="1">
        <v>51</v>
      </c>
      <c r="G34" s="1">
        <v>19800</v>
      </c>
      <c r="N34" s="1"/>
      <c r="O34" s="1"/>
      <c r="P34" s="1"/>
      <c r="Q34" s="1"/>
    </row>
    <row r="35" spans="1:17" s="3" customFormat="1" ht="12.75" customHeight="1" x14ac:dyDescent="0.2">
      <c r="A35" s="4">
        <v>29495</v>
      </c>
      <c r="B35" s="1">
        <v>266</v>
      </c>
      <c r="C35" s="1">
        <v>15</v>
      </c>
      <c r="D35" s="1">
        <v>38</v>
      </c>
      <c r="E35" s="1">
        <v>162</v>
      </c>
      <c r="F35" s="1">
        <v>51</v>
      </c>
      <c r="G35" s="1">
        <v>20800</v>
      </c>
      <c r="N35" s="1"/>
      <c r="O35" s="1"/>
      <c r="P35" s="1"/>
      <c r="Q35" s="1"/>
    </row>
    <row r="36" spans="1:17" s="3" customFormat="1" ht="12.75" customHeight="1" x14ac:dyDescent="0.2">
      <c r="A36" s="4">
        <v>29526</v>
      </c>
      <c r="B36" s="1">
        <v>262</v>
      </c>
      <c r="C36" s="1">
        <v>19</v>
      </c>
      <c r="D36" s="1">
        <v>30</v>
      </c>
      <c r="E36" s="1">
        <v>156</v>
      </c>
      <c r="F36" s="1">
        <v>57</v>
      </c>
      <c r="G36" s="1">
        <v>20600</v>
      </c>
      <c r="N36" s="1"/>
      <c r="O36" s="1"/>
      <c r="P36" s="1"/>
      <c r="Q36" s="1"/>
    </row>
    <row r="37" spans="1:17" s="3" customFormat="1" ht="12.75" customHeight="1" x14ac:dyDescent="0.2">
      <c r="A37" s="4">
        <v>29556</v>
      </c>
      <c r="B37" s="1">
        <v>251</v>
      </c>
      <c r="C37" s="1">
        <v>12</v>
      </c>
      <c r="D37" s="1">
        <v>36</v>
      </c>
      <c r="E37" s="1">
        <v>150</v>
      </c>
      <c r="F37" s="1">
        <v>53</v>
      </c>
      <c r="G37" s="1">
        <v>20500</v>
      </c>
    </row>
    <row r="38" spans="1:17" s="3" customFormat="1" ht="18" customHeight="1" x14ac:dyDescent="0.2">
      <c r="A38" s="4">
        <v>29587</v>
      </c>
      <c r="B38" s="1">
        <v>228</v>
      </c>
      <c r="C38" s="1">
        <v>12</v>
      </c>
      <c r="D38" s="1">
        <v>31</v>
      </c>
      <c r="E38" s="1">
        <v>131</v>
      </c>
      <c r="F38" s="1">
        <v>53</v>
      </c>
      <c r="G38" s="1">
        <v>19200</v>
      </c>
      <c r="N38" s="1"/>
      <c r="O38" s="1"/>
      <c r="P38" s="1"/>
      <c r="Q38" s="1"/>
    </row>
    <row r="39" spans="1:17" s="3" customFormat="1" x14ac:dyDescent="0.2">
      <c r="A39" s="4">
        <v>29618</v>
      </c>
      <c r="B39" s="1">
        <v>244</v>
      </c>
      <c r="C39" s="1">
        <v>5</v>
      </c>
      <c r="D39" s="1">
        <v>39</v>
      </c>
      <c r="E39" s="1">
        <v>151</v>
      </c>
      <c r="F39" s="1">
        <v>50</v>
      </c>
      <c r="G39" s="1">
        <v>18900</v>
      </c>
      <c r="N39" s="1"/>
      <c r="O39" s="1"/>
      <c r="P39" s="1"/>
      <c r="Q39" s="1"/>
    </row>
    <row r="40" spans="1:17" s="3" customFormat="1" ht="18" customHeight="1" x14ac:dyDescent="0.2">
      <c r="A40" s="4">
        <v>29646</v>
      </c>
      <c r="B40" s="1">
        <v>232</v>
      </c>
      <c r="C40" s="1">
        <v>15</v>
      </c>
      <c r="D40" s="1">
        <v>34</v>
      </c>
      <c r="E40" s="1">
        <v>140</v>
      </c>
      <c r="F40" s="1">
        <v>43</v>
      </c>
      <c r="G40" s="1">
        <v>19300</v>
      </c>
      <c r="N40" s="1"/>
      <c r="O40" s="1"/>
      <c r="P40" s="1"/>
      <c r="Q40" s="1"/>
    </row>
    <row r="41" spans="1:17" s="3" customFormat="1" ht="18" customHeight="1" x14ac:dyDescent="0.2">
      <c r="A41" s="4">
        <v>29677</v>
      </c>
      <c r="B41" s="1">
        <v>238</v>
      </c>
      <c r="C41" s="1">
        <v>16</v>
      </c>
      <c r="D41" s="1">
        <v>31</v>
      </c>
      <c r="E41" s="1">
        <v>147</v>
      </c>
      <c r="F41" s="1">
        <v>43</v>
      </c>
      <c r="G41" s="1">
        <v>19600</v>
      </c>
    </row>
    <row r="42" spans="1:17" s="3" customFormat="1" ht="18" customHeight="1" x14ac:dyDescent="0.2">
      <c r="A42" s="4">
        <v>29707</v>
      </c>
      <c r="B42" s="1">
        <v>223</v>
      </c>
      <c r="C42" s="1">
        <v>11</v>
      </c>
      <c r="D42" s="1">
        <v>35</v>
      </c>
      <c r="E42" s="1">
        <v>140</v>
      </c>
      <c r="F42" s="1">
        <v>37</v>
      </c>
      <c r="G42" s="1">
        <v>19400</v>
      </c>
      <c r="N42" s="1"/>
      <c r="O42" s="1"/>
      <c r="P42" s="1"/>
      <c r="Q42" s="1"/>
    </row>
    <row r="43" spans="1:17" s="3" customFormat="1" ht="18" customHeight="1" x14ac:dyDescent="0.2">
      <c r="A43" s="4">
        <v>29738</v>
      </c>
      <c r="B43" s="1">
        <v>236</v>
      </c>
      <c r="C43" s="1">
        <v>13</v>
      </c>
      <c r="D43" s="1">
        <v>31</v>
      </c>
      <c r="E43" s="1">
        <v>147</v>
      </c>
      <c r="F43" s="1">
        <v>45</v>
      </c>
      <c r="G43" s="1">
        <v>19300</v>
      </c>
      <c r="N43" s="1"/>
      <c r="O43" s="1"/>
      <c r="P43" s="1"/>
      <c r="Q43" s="1"/>
    </row>
    <row r="44" spans="1:17" s="3" customFormat="1" ht="18" customHeight="1" x14ac:dyDescent="0.2">
      <c r="A44" s="4">
        <v>29768</v>
      </c>
      <c r="B44" s="1">
        <v>231</v>
      </c>
      <c r="C44" s="1">
        <v>9</v>
      </c>
      <c r="D44" s="1">
        <v>32</v>
      </c>
      <c r="E44" s="1">
        <v>145</v>
      </c>
      <c r="F44" s="1">
        <v>45</v>
      </c>
      <c r="G44" s="1">
        <v>20100</v>
      </c>
      <c r="N44" s="1"/>
      <c r="O44" s="1"/>
      <c r="P44" s="1"/>
      <c r="Q44" s="1"/>
    </row>
    <row r="45" spans="1:17" s="3" customFormat="1" ht="18" customHeight="1" x14ac:dyDescent="0.2">
      <c r="A45" s="4">
        <v>29799</v>
      </c>
      <c r="B45" s="1">
        <v>222</v>
      </c>
      <c r="C45" s="1">
        <v>12</v>
      </c>
      <c r="D45" s="1">
        <v>26</v>
      </c>
      <c r="E45" s="1">
        <v>142</v>
      </c>
      <c r="F45" s="1">
        <v>42</v>
      </c>
      <c r="G45" s="1">
        <v>20900</v>
      </c>
    </row>
    <row r="46" spans="1:17" s="3" customFormat="1" ht="18" customHeight="1" x14ac:dyDescent="0.2">
      <c r="A46" s="4">
        <v>29830</v>
      </c>
      <c r="B46" s="1">
        <v>237</v>
      </c>
      <c r="C46" s="1">
        <v>12</v>
      </c>
      <c r="D46" s="1">
        <v>31</v>
      </c>
      <c r="E46" s="1">
        <v>148</v>
      </c>
      <c r="F46" s="1">
        <v>46</v>
      </c>
      <c r="G46" s="1">
        <v>19900</v>
      </c>
      <c r="N46" s="1"/>
      <c r="O46" s="1"/>
      <c r="P46" s="1"/>
      <c r="Q46" s="1"/>
    </row>
    <row r="47" spans="1:17" s="3" customFormat="1" ht="18" customHeight="1" x14ac:dyDescent="0.2">
      <c r="A47" s="4">
        <v>29860</v>
      </c>
      <c r="B47" s="1">
        <v>218</v>
      </c>
      <c r="C47" s="1">
        <v>13</v>
      </c>
      <c r="D47" s="1">
        <v>21</v>
      </c>
      <c r="E47" s="1">
        <v>139</v>
      </c>
      <c r="F47" s="1">
        <v>46</v>
      </c>
      <c r="G47" s="1">
        <v>21000</v>
      </c>
      <c r="N47" s="1"/>
      <c r="O47" s="1"/>
      <c r="P47" s="1"/>
      <c r="Q47" s="1"/>
    </row>
    <row r="48" spans="1:17" s="3" customFormat="1" ht="18" customHeight="1" x14ac:dyDescent="0.2">
      <c r="A48" s="4">
        <v>29891</v>
      </c>
      <c r="B48" s="1">
        <v>224</v>
      </c>
      <c r="C48" s="1">
        <v>11</v>
      </c>
      <c r="D48" s="1">
        <v>28</v>
      </c>
      <c r="E48" s="1">
        <v>143</v>
      </c>
      <c r="F48" s="1">
        <v>42</v>
      </c>
      <c r="G48" s="1">
        <v>20600</v>
      </c>
      <c r="N48" s="1"/>
      <c r="O48" s="1"/>
      <c r="P48" s="1"/>
      <c r="Q48" s="1"/>
    </row>
    <row r="49" spans="1:17" s="3" customFormat="1" ht="18" customHeight="1" x14ac:dyDescent="0.2">
      <c r="A49" s="4">
        <v>29921</v>
      </c>
      <c r="B49" s="1">
        <v>226</v>
      </c>
      <c r="C49" s="1">
        <v>12</v>
      </c>
      <c r="D49" s="1">
        <v>28</v>
      </c>
      <c r="E49" s="1">
        <v>149</v>
      </c>
      <c r="F49" s="1">
        <v>37</v>
      </c>
      <c r="G49" s="1">
        <v>19700</v>
      </c>
    </row>
    <row r="50" spans="1:17" s="3" customFormat="1" ht="18" customHeight="1" x14ac:dyDescent="0.2">
      <c r="A50" s="4">
        <v>30317</v>
      </c>
      <c r="B50" s="1">
        <v>213</v>
      </c>
      <c r="C50" s="1">
        <v>9</v>
      </c>
      <c r="D50" s="1">
        <v>18</v>
      </c>
      <c r="E50" s="1">
        <v>153</v>
      </c>
      <c r="F50" s="1">
        <v>33</v>
      </c>
      <c r="G50" s="1">
        <v>19500</v>
      </c>
      <c r="N50" s="1"/>
      <c r="O50" s="1"/>
      <c r="P50" s="1"/>
      <c r="Q50" s="1"/>
    </row>
    <row r="51" spans="1:17" s="3" customFormat="1" ht="18" customHeight="1" x14ac:dyDescent="0.2">
      <c r="A51" s="4">
        <v>30348</v>
      </c>
      <c r="B51" s="1">
        <v>209</v>
      </c>
      <c r="C51" s="1">
        <v>5</v>
      </c>
      <c r="D51" s="1">
        <v>16</v>
      </c>
      <c r="E51" s="1">
        <v>155</v>
      </c>
      <c r="F51" s="1">
        <v>33</v>
      </c>
      <c r="G51" s="1">
        <v>18500</v>
      </c>
      <c r="N51" s="1"/>
      <c r="O51" s="1"/>
      <c r="P51" s="1"/>
      <c r="Q51" s="1"/>
    </row>
    <row r="52" spans="1:17" s="3" customFormat="1" x14ac:dyDescent="0.2">
      <c r="A52" s="4">
        <v>30376</v>
      </c>
      <c r="B52" s="1">
        <v>230</v>
      </c>
      <c r="C52" s="1">
        <v>9</v>
      </c>
      <c r="D52" s="1">
        <v>23</v>
      </c>
      <c r="E52" s="1">
        <v>157</v>
      </c>
      <c r="F52" s="1">
        <v>41</v>
      </c>
      <c r="G52" s="1">
        <v>19300</v>
      </c>
      <c r="N52" s="1"/>
      <c r="O52" s="1"/>
      <c r="P52" s="1"/>
      <c r="Q52" s="1"/>
    </row>
    <row r="53" spans="1:17" s="3" customFormat="1" x14ac:dyDescent="0.2">
      <c r="A53" s="4">
        <v>30407</v>
      </c>
      <c r="B53" s="1">
        <v>242</v>
      </c>
      <c r="C53" s="1">
        <v>12</v>
      </c>
      <c r="D53" s="1">
        <v>28</v>
      </c>
      <c r="E53" s="1">
        <v>162</v>
      </c>
      <c r="F53" s="1">
        <v>41</v>
      </c>
      <c r="G53" s="1">
        <v>20100</v>
      </c>
    </row>
    <row r="54" spans="1:17" s="3" customFormat="1" x14ac:dyDescent="0.2">
      <c r="A54" s="4">
        <v>30437</v>
      </c>
      <c r="B54" s="1">
        <v>248</v>
      </c>
      <c r="C54" s="1">
        <v>15</v>
      </c>
      <c r="D54" s="1">
        <v>27</v>
      </c>
      <c r="E54" s="1">
        <v>165</v>
      </c>
      <c r="F54" s="1">
        <v>42</v>
      </c>
      <c r="G54" s="1">
        <v>19300</v>
      </c>
      <c r="N54" s="1"/>
      <c r="O54" s="1"/>
      <c r="P54" s="1"/>
      <c r="Q54" s="1"/>
    </row>
    <row r="55" spans="1:17" s="3" customFormat="1" x14ac:dyDescent="0.2">
      <c r="A55" s="4">
        <v>30468</v>
      </c>
      <c r="B55" s="1">
        <v>244</v>
      </c>
      <c r="C55" s="1">
        <v>15</v>
      </c>
      <c r="D55" s="1">
        <v>34</v>
      </c>
      <c r="E55" s="1">
        <v>159</v>
      </c>
      <c r="F55" s="1">
        <v>37</v>
      </c>
      <c r="G55" s="1">
        <v>20100</v>
      </c>
      <c r="N55" s="1"/>
      <c r="O55" s="1"/>
      <c r="P55" s="1"/>
      <c r="Q55" s="1"/>
    </row>
    <row r="56" spans="1:17" s="3" customFormat="1" ht="18" customHeight="1" x14ac:dyDescent="0.2">
      <c r="A56" s="4">
        <v>30498</v>
      </c>
      <c r="B56" s="1">
        <v>219</v>
      </c>
      <c r="C56" s="1">
        <v>8</v>
      </c>
      <c r="D56" s="1">
        <v>21</v>
      </c>
      <c r="E56" s="1">
        <v>161</v>
      </c>
      <c r="F56" s="1">
        <v>30</v>
      </c>
      <c r="G56" s="1">
        <v>19700</v>
      </c>
      <c r="N56" s="1"/>
      <c r="O56" s="1"/>
      <c r="P56" s="1"/>
      <c r="Q56" s="1"/>
    </row>
    <row r="57" spans="1:17" s="3" customFormat="1" ht="12.75" customHeight="1" x14ac:dyDescent="0.2">
      <c r="A57" s="4">
        <v>30529</v>
      </c>
      <c r="B57" s="1">
        <v>239</v>
      </c>
      <c r="C57" s="1">
        <v>16</v>
      </c>
      <c r="D57" s="1">
        <v>24</v>
      </c>
      <c r="E57" s="1">
        <v>164</v>
      </c>
      <c r="F57" s="1">
        <v>34</v>
      </c>
      <c r="G57" s="1">
        <v>19400</v>
      </c>
    </row>
    <row r="58" spans="1:17" s="3" customFormat="1" ht="18" customHeight="1" x14ac:dyDescent="0.2">
      <c r="A58" s="4">
        <v>30560</v>
      </c>
      <c r="B58" s="1">
        <v>232</v>
      </c>
      <c r="C58" s="1">
        <v>15</v>
      </c>
      <c r="D58" s="1">
        <v>22</v>
      </c>
      <c r="E58" s="1">
        <v>163</v>
      </c>
      <c r="F58" s="1">
        <v>32</v>
      </c>
      <c r="G58" s="1">
        <v>19500</v>
      </c>
      <c r="N58" s="1"/>
      <c r="O58" s="1"/>
      <c r="P58" s="1"/>
      <c r="Q58" s="1"/>
    </row>
    <row r="59" spans="1:17" s="3" customFormat="1" ht="18" customHeight="1" x14ac:dyDescent="0.2">
      <c r="A59" s="4">
        <v>30590</v>
      </c>
      <c r="B59" s="1">
        <v>216</v>
      </c>
      <c r="C59" s="1">
        <v>12</v>
      </c>
      <c r="D59" s="1">
        <v>26</v>
      </c>
      <c r="E59" s="1">
        <v>149</v>
      </c>
      <c r="F59" s="1">
        <v>29</v>
      </c>
      <c r="G59" s="1">
        <v>19400</v>
      </c>
      <c r="N59" s="1"/>
      <c r="O59" s="1"/>
      <c r="P59" s="1"/>
      <c r="Q59" s="1"/>
    </row>
    <row r="60" spans="1:17" s="3" customFormat="1" ht="18" customHeight="1" x14ac:dyDescent="0.2">
      <c r="A60" s="4">
        <v>30621</v>
      </c>
      <c r="B60" s="1">
        <v>252</v>
      </c>
      <c r="C60" s="1">
        <v>13</v>
      </c>
      <c r="D60" s="1">
        <v>26</v>
      </c>
      <c r="E60" s="1">
        <v>182</v>
      </c>
      <c r="F60" s="1">
        <v>32</v>
      </c>
      <c r="G60" s="1">
        <v>20500</v>
      </c>
      <c r="N60" s="1"/>
      <c r="O60" s="1"/>
      <c r="P60" s="1"/>
      <c r="Q60" s="1"/>
    </row>
    <row r="61" spans="1:17" s="3" customFormat="1" ht="18" customHeight="1" x14ac:dyDescent="0.2">
      <c r="A61" s="4">
        <v>30651</v>
      </c>
      <c r="B61" s="1">
        <v>244</v>
      </c>
      <c r="C61" s="1">
        <v>15</v>
      </c>
      <c r="D61" s="1">
        <v>32</v>
      </c>
      <c r="E61" s="1">
        <v>160</v>
      </c>
      <c r="F61" s="1">
        <v>36</v>
      </c>
      <c r="G61" s="1">
        <v>20500</v>
      </c>
    </row>
    <row r="62" spans="1:17" s="3" customFormat="1" ht="18" customHeight="1" x14ac:dyDescent="0.2">
      <c r="A62" s="4">
        <v>30682</v>
      </c>
      <c r="B62" s="1">
        <v>251</v>
      </c>
      <c r="C62" s="1">
        <v>19</v>
      </c>
      <c r="D62" s="1">
        <v>43</v>
      </c>
      <c r="E62" s="1">
        <v>150</v>
      </c>
      <c r="F62" s="1">
        <v>39</v>
      </c>
      <c r="G62" s="1">
        <v>20100</v>
      </c>
      <c r="N62" s="1"/>
      <c r="O62" s="1"/>
      <c r="P62" s="1"/>
      <c r="Q62" s="1"/>
    </row>
    <row r="63" spans="1:17" s="3" customFormat="1" ht="18" customHeight="1" x14ac:dyDescent="0.2">
      <c r="A63" s="4">
        <v>30713</v>
      </c>
      <c r="B63" s="1">
        <v>279</v>
      </c>
      <c r="C63" s="1">
        <v>21</v>
      </c>
      <c r="D63" s="1">
        <v>35</v>
      </c>
      <c r="E63" s="1">
        <v>173</v>
      </c>
      <c r="F63" s="1">
        <v>49</v>
      </c>
      <c r="G63" s="1">
        <v>19900</v>
      </c>
      <c r="N63" s="1"/>
      <c r="O63" s="1"/>
      <c r="P63" s="1"/>
      <c r="Q63" s="1"/>
    </row>
    <row r="64" spans="1:17" s="3" customFormat="1" ht="18" customHeight="1" x14ac:dyDescent="0.2">
      <c r="A64" s="4">
        <v>30742</v>
      </c>
      <c r="B64" s="1">
        <v>273</v>
      </c>
      <c r="C64" s="1">
        <v>12</v>
      </c>
      <c r="D64" s="1">
        <v>35</v>
      </c>
      <c r="E64" s="1">
        <v>184</v>
      </c>
      <c r="F64" s="1">
        <v>42</v>
      </c>
      <c r="G64" s="1">
        <v>19600</v>
      </c>
      <c r="N64" s="1"/>
      <c r="O64" s="1"/>
      <c r="P64" s="1"/>
      <c r="Q64" s="1"/>
    </row>
    <row r="65" spans="1:17" s="3" customFormat="1" ht="18" customHeight="1" x14ac:dyDescent="0.2">
      <c r="A65" s="4">
        <v>30773</v>
      </c>
      <c r="B65" s="1">
        <v>262</v>
      </c>
      <c r="C65" s="1">
        <v>12</v>
      </c>
      <c r="D65" s="1">
        <v>30</v>
      </c>
      <c r="E65" s="1">
        <v>181</v>
      </c>
      <c r="F65" s="1">
        <v>38</v>
      </c>
      <c r="G65" s="1">
        <v>20200</v>
      </c>
    </row>
    <row r="66" spans="1:17" s="3" customFormat="1" ht="18" customHeight="1" x14ac:dyDescent="0.2">
      <c r="A66" s="4">
        <v>30803</v>
      </c>
      <c r="B66" s="1">
        <v>279</v>
      </c>
      <c r="C66" s="1">
        <v>13</v>
      </c>
      <c r="D66" s="1">
        <v>36</v>
      </c>
      <c r="E66" s="1">
        <v>186</v>
      </c>
      <c r="F66" s="1">
        <v>44</v>
      </c>
      <c r="G66" s="1">
        <v>20900</v>
      </c>
      <c r="N66" s="1"/>
      <c r="O66" s="1"/>
      <c r="P66" s="1"/>
      <c r="Q66" s="1"/>
    </row>
    <row r="67" spans="1:17" s="3" customFormat="1" ht="18" customHeight="1" x14ac:dyDescent="0.2">
      <c r="A67" s="4">
        <v>30834</v>
      </c>
      <c r="B67" s="1">
        <v>274</v>
      </c>
      <c r="C67" s="1">
        <v>15</v>
      </c>
      <c r="D67" s="1">
        <v>33</v>
      </c>
      <c r="E67" s="1">
        <v>194</v>
      </c>
      <c r="F67" s="1">
        <v>32</v>
      </c>
      <c r="G67" s="1">
        <v>20700</v>
      </c>
      <c r="N67" s="1"/>
      <c r="O67" s="1"/>
      <c r="P67" s="1"/>
      <c r="Q67" s="1"/>
    </row>
    <row r="68" spans="1:17" s="3" customFormat="1" ht="18" customHeight="1" x14ac:dyDescent="0.2">
      <c r="A68" s="4">
        <v>30864</v>
      </c>
      <c r="B68" s="1">
        <v>296</v>
      </c>
      <c r="C68" s="1">
        <v>17</v>
      </c>
      <c r="D68" s="1">
        <v>38</v>
      </c>
      <c r="E68" s="1">
        <v>198</v>
      </c>
      <c r="F68" s="1">
        <v>44</v>
      </c>
      <c r="G68" s="1">
        <v>21000</v>
      </c>
      <c r="N68" s="1"/>
      <c r="O68" s="1"/>
      <c r="P68" s="1"/>
      <c r="Q68" s="1"/>
    </row>
    <row r="69" spans="1:17" s="3" customFormat="1" ht="18" customHeight="1" x14ac:dyDescent="0.2">
      <c r="A69" s="4">
        <v>30895</v>
      </c>
      <c r="B69" s="1">
        <v>301</v>
      </c>
      <c r="C69" s="1">
        <v>21</v>
      </c>
      <c r="D69" s="1">
        <v>35</v>
      </c>
      <c r="E69" s="1">
        <v>201</v>
      </c>
      <c r="F69" s="1">
        <v>44</v>
      </c>
      <c r="G69" s="1">
        <v>21800</v>
      </c>
    </row>
    <row r="70" spans="1:17" s="3" customFormat="1" ht="12.75" customHeight="1" x14ac:dyDescent="0.2">
      <c r="A70" s="4">
        <v>30926</v>
      </c>
      <c r="B70" s="1">
        <v>253</v>
      </c>
      <c r="C70" s="1">
        <v>16</v>
      </c>
      <c r="D70" s="1">
        <v>31</v>
      </c>
      <c r="E70" s="1">
        <v>162</v>
      </c>
      <c r="F70" s="1">
        <v>44</v>
      </c>
      <c r="G70" s="1">
        <v>21800</v>
      </c>
      <c r="N70" s="1"/>
      <c r="O70" s="1"/>
      <c r="P70" s="1"/>
      <c r="Q70" s="1"/>
    </row>
    <row r="71" spans="1:17" s="3" customFormat="1" ht="12.75" customHeight="1" x14ac:dyDescent="0.2">
      <c r="A71" s="4">
        <v>30956</v>
      </c>
      <c r="B71" s="1">
        <v>299</v>
      </c>
      <c r="C71" s="1">
        <v>20</v>
      </c>
      <c r="D71" s="1">
        <v>33</v>
      </c>
      <c r="E71" s="1">
        <v>201</v>
      </c>
      <c r="F71" s="1">
        <v>44</v>
      </c>
      <c r="G71" s="1">
        <v>22000</v>
      </c>
      <c r="N71" s="1"/>
      <c r="O71" s="1"/>
      <c r="P71" s="1"/>
      <c r="Q71" s="1"/>
    </row>
    <row r="72" spans="1:17" s="3" customFormat="1" ht="12.75" customHeight="1" x14ac:dyDescent="0.2">
      <c r="A72" s="4">
        <v>30987</v>
      </c>
      <c r="B72" s="1">
        <v>289</v>
      </c>
      <c r="C72" s="1">
        <v>18</v>
      </c>
      <c r="D72" s="1">
        <v>31</v>
      </c>
      <c r="E72" s="1">
        <v>196</v>
      </c>
      <c r="F72" s="1">
        <v>44</v>
      </c>
      <c r="G72" s="1">
        <v>21300</v>
      </c>
      <c r="N72" s="1"/>
      <c r="O72" s="1"/>
      <c r="P72" s="1"/>
      <c r="Q72" s="1"/>
    </row>
    <row r="73" spans="1:17" s="3" customFormat="1" ht="12.75" customHeight="1" x14ac:dyDescent="0.2">
      <c r="A73" s="4">
        <v>31017</v>
      </c>
      <c r="B73" s="1">
        <v>291</v>
      </c>
      <c r="C73" s="1">
        <v>12</v>
      </c>
      <c r="D73" s="1">
        <v>41</v>
      </c>
      <c r="E73" s="1">
        <v>204</v>
      </c>
      <c r="F73" s="1">
        <v>33</v>
      </c>
      <c r="G73" s="1">
        <v>21900</v>
      </c>
    </row>
    <row r="74" spans="1:17" s="3" customFormat="1" ht="18" customHeight="1" x14ac:dyDescent="0.2">
      <c r="A74" s="4">
        <v>31048</v>
      </c>
      <c r="B74" s="1">
        <v>315</v>
      </c>
      <c r="C74" s="1">
        <v>21</v>
      </c>
      <c r="D74" s="1">
        <v>41</v>
      </c>
      <c r="E74" s="1">
        <v>200</v>
      </c>
      <c r="F74" s="1">
        <v>53</v>
      </c>
      <c r="G74" s="1">
        <v>20800</v>
      </c>
      <c r="N74" s="1"/>
      <c r="O74" s="1"/>
      <c r="P74" s="1"/>
      <c r="Q74" s="1"/>
    </row>
    <row r="75" spans="1:17" s="3" customFormat="1" ht="13.35" customHeight="1" x14ac:dyDescent="0.2">
      <c r="A75" s="4">
        <v>31079</v>
      </c>
      <c r="B75" s="1">
        <v>284</v>
      </c>
      <c r="C75" s="1">
        <v>11</v>
      </c>
      <c r="D75" s="1">
        <v>36</v>
      </c>
      <c r="E75" s="1">
        <v>193</v>
      </c>
      <c r="F75" s="1">
        <v>44</v>
      </c>
      <c r="G75" s="1">
        <v>20400</v>
      </c>
      <c r="N75" s="1"/>
      <c r="O75" s="1"/>
      <c r="P75" s="1"/>
      <c r="Q75" s="1"/>
    </row>
    <row r="76" spans="1:17" s="3" customFormat="1" ht="18" customHeight="1" x14ac:dyDescent="0.2">
      <c r="A76" s="4">
        <v>31107</v>
      </c>
      <c r="B76" s="1">
        <v>281</v>
      </c>
      <c r="C76" s="1">
        <v>15</v>
      </c>
      <c r="D76" s="1">
        <v>36</v>
      </c>
      <c r="E76" s="1">
        <v>192</v>
      </c>
      <c r="F76" s="1">
        <v>38</v>
      </c>
      <c r="G76" s="1">
        <v>20800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s="3" customFormat="1" ht="18" customHeight="1" x14ac:dyDescent="0.2">
      <c r="A77" s="4">
        <v>31138</v>
      </c>
      <c r="B77" s="1">
        <v>286</v>
      </c>
      <c r="C77" s="1">
        <v>19</v>
      </c>
      <c r="D77" s="1">
        <v>35</v>
      </c>
      <c r="E77" s="1">
        <v>192</v>
      </c>
      <c r="F77" s="1">
        <v>40</v>
      </c>
      <c r="G77" s="1">
        <v>21000</v>
      </c>
    </row>
    <row r="78" spans="1:17" s="3" customFormat="1" ht="18" customHeight="1" x14ac:dyDescent="0.2">
      <c r="A78" s="4">
        <v>31168</v>
      </c>
      <c r="B78" s="1">
        <v>286</v>
      </c>
      <c r="C78" s="1">
        <v>15</v>
      </c>
      <c r="D78" s="1">
        <v>35</v>
      </c>
      <c r="E78" s="1">
        <v>198</v>
      </c>
      <c r="F78" s="1">
        <v>39</v>
      </c>
      <c r="G78" s="1">
        <v>21200</v>
      </c>
      <c r="I78" s="1"/>
      <c r="J78" s="1"/>
      <c r="K78" s="1"/>
      <c r="L78" s="1"/>
      <c r="M78" s="1"/>
      <c r="N78" s="1"/>
      <c r="O78" s="1"/>
      <c r="P78" s="1"/>
      <c r="Q78" s="1"/>
    </row>
    <row r="79" spans="1:17" s="3" customFormat="1" ht="18" customHeight="1" x14ac:dyDescent="0.2">
      <c r="A79" s="4">
        <v>31199</v>
      </c>
      <c r="B79" s="1">
        <v>286</v>
      </c>
      <c r="C79" s="1">
        <v>22</v>
      </c>
      <c r="D79" s="1">
        <v>31</v>
      </c>
      <c r="E79" s="1">
        <v>192</v>
      </c>
      <c r="F79" s="1">
        <v>41</v>
      </c>
      <c r="G79" s="1">
        <v>21600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s="3" customFormat="1" ht="18" customHeight="1" x14ac:dyDescent="0.2">
      <c r="A80" s="4">
        <v>31229</v>
      </c>
      <c r="B80" s="1">
        <v>286</v>
      </c>
      <c r="C80" s="1">
        <v>18</v>
      </c>
      <c r="D80" s="1">
        <v>36</v>
      </c>
      <c r="E80" s="1">
        <v>191</v>
      </c>
      <c r="F80" s="1">
        <v>41</v>
      </c>
      <c r="G80" s="1">
        <v>21500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s="3" customFormat="1" ht="18" customHeight="1" x14ac:dyDescent="0.2">
      <c r="A81" s="4">
        <v>31260</v>
      </c>
      <c r="B81" s="1">
        <v>274</v>
      </c>
      <c r="C81" s="1">
        <v>18</v>
      </c>
      <c r="D81" s="1">
        <v>34</v>
      </c>
      <c r="E81" s="1">
        <v>183</v>
      </c>
      <c r="F81" s="1">
        <v>39</v>
      </c>
      <c r="G81" s="1">
        <v>22300</v>
      </c>
    </row>
    <row r="82" spans="1:17" s="3" customFormat="1" ht="18" customHeight="1" x14ac:dyDescent="0.2">
      <c r="A82" s="4">
        <v>31291</v>
      </c>
      <c r="B82" s="1">
        <v>256</v>
      </c>
      <c r="C82" s="1">
        <v>23</v>
      </c>
      <c r="D82" s="1">
        <v>35</v>
      </c>
      <c r="E82" s="1">
        <v>164</v>
      </c>
      <c r="F82" s="1">
        <v>34</v>
      </c>
      <c r="G82" s="1">
        <v>22000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s="3" customFormat="1" ht="18" customHeight="1" x14ac:dyDescent="0.2">
      <c r="A83" s="4">
        <v>31321</v>
      </c>
      <c r="B83" s="1">
        <v>305</v>
      </c>
      <c r="C83" s="1">
        <v>27</v>
      </c>
      <c r="D83" s="1">
        <v>33</v>
      </c>
      <c r="E83" s="1">
        <v>206</v>
      </c>
      <c r="F83" s="1">
        <v>39</v>
      </c>
      <c r="G83" s="1">
        <v>22000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s="3" customFormat="1" ht="18" customHeight="1" x14ac:dyDescent="0.2">
      <c r="A84" s="4">
        <v>31352</v>
      </c>
      <c r="B84" s="1">
        <v>298</v>
      </c>
      <c r="C84" s="1">
        <v>26</v>
      </c>
      <c r="D84" s="1">
        <v>36</v>
      </c>
      <c r="E84" s="1">
        <v>204</v>
      </c>
      <c r="F84" s="1">
        <v>32</v>
      </c>
      <c r="G84" s="1">
        <v>21800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s="3" customFormat="1" ht="18" customHeight="1" x14ac:dyDescent="0.2">
      <c r="A85" s="4">
        <v>31382</v>
      </c>
      <c r="B85" s="1">
        <v>299</v>
      </c>
      <c r="C85" s="1">
        <v>15</v>
      </c>
      <c r="D85" s="1">
        <v>40</v>
      </c>
      <c r="E85" s="1">
        <v>204</v>
      </c>
      <c r="F85" s="1">
        <v>40</v>
      </c>
      <c r="G85" s="1">
        <v>21600</v>
      </c>
    </row>
    <row r="86" spans="1:17" s="3" customFormat="1" ht="18" customHeight="1" x14ac:dyDescent="0.2">
      <c r="A86" s="4">
        <v>31413</v>
      </c>
      <c r="B86" s="1">
        <v>293</v>
      </c>
      <c r="C86" s="1">
        <v>14</v>
      </c>
      <c r="D86" s="1">
        <v>43</v>
      </c>
      <c r="E86" s="1">
        <v>200</v>
      </c>
      <c r="F86" s="1">
        <v>37</v>
      </c>
      <c r="G86" s="1">
        <v>20600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s="3" customFormat="1" ht="18" customHeight="1" x14ac:dyDescent="0.2">
      <c r="A87" s="4">
        <v>31444</v>
      </c>
      <c r="B87" s="1">
        <v>273</v>
      </c>
      <c r="C87" s="1">
        <v>16</v>
      </c>
      <c r="D87" s="1">
        <v>41</v>
      </c>
      <c r="E87" s="1">
        <v>175</v>
      </c>
      <c r="F87" s="1">
        <v>41</v>
      </c>
      <c r="G87" s="1">
        <v>21700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s="3" customFormat="1" ht="12.75" customHeight="1" x14ac:dyDescent="0.2">
      <c r="A88" s="4">
        <v>31472</v>
      </c>
      <c r="B88" s="1">
        <v>288</v>
      </c>
      <c r="C88" s="1">
        <v>19</v>
      </c>
      <c r="D88" s="1">
        <v>39</v>
      </c>
      <c r="E88" s="1">
        <v>194</v>
      </c>
      <c r="F88" s="1">
        <v>37</v>
      </c>
      <c r="G88" s="1">
        <v>20800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s="3" customFormat="1" x14ac:dyDescent="0.2">
      <c r="A89" s="4">
        <v>31503</v>
      </c>
      <c r="B89" s="1">
        <v>279</v>
      </c>
      <c r="C89" s="1">
        <v>17</v>
      </c>
      <c r="D89" s="1">
        <v>40</v>
      </c>
      <c r="E89" s="1">
        <v>187</v>
      </c>
      <c r="F89" s="1">
        <v>35</v>
      </c>
      <c r="G89" s="1">
        <v>21400</v>
      </c>
      <c r="I89" s="1"/>
      <c r="J89" s="1"/>
      <c r="K89" s="1"/>
      <c r="L89" s="1"/>
      <c r="M89" s="1"/>
    </row>
    <row r="90" spans="1:17" s="3" customFormat="1" x14ac:dyDescent="0.2">
      <c r="A90" s="4">
        <v>31533</v>
      </c>
      <c r="B90" s="1">
        <v>282</v>
      </c>
      <c r="C90" s="1">
        <v>15</v>
      </c>
      <c r="D90" s="1">
        <v>38</v>
      </c>
      <c r="E90" s="1">
        <v>194</v>
      </c>
      <c r="F90" s="1">
        <v>35</v>
      </c>
      <c r="G90" s="1">
        <v>21800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4">
        <v>31564</v>
      </c>
      <c r="B91" s="1">
        <v>309</v>
      </c>
      <c r="C91" s="1">
        <v>22</v>
      </c>
      <c r="D91" s="1">
        <v>42</v>
      </c>
      <c r="E91" s="1">
        <v>206</v>
      </c>
      <c r="F91" s="1">
        <v>39</v>
      </c>
      <c r="G91" s="1">
        <v>22000</v>
      </c>
    </row>
    <row r="92" spans="1:17" ht="18" customHeight="1" x14ac:dyDescent="0.2">
      <c r="A92" s="4">
        <v>31594</v>
      </c>
      <c r="B92" s="1">
        <v>276</v>
      </c>
      <c r="C92" s="1">
        <v>20</v>
      </c>
      <c r="D92" s="1">
        <v>34</v>
      </c>
      <c r="E92" s="1">
        <v>186</v>
      </c>
      <c r="F92" s="1">
        <v>35</v>
      </c>
      <c r="G92" s="1">
        <v>21900</v>
      </c>
    </row>
    <row r="93" spans="1:17" ht="12.75" customHeight="1" x14ac:dyDescent="0.2">
      <c r="A93" s="4">
        <v>31625</v>
      </c>
      <c r="B93" s="1">
        <v>272</v>
      </c>
      <c r="C93" s="1">
        <v>18</v>
      </c>
      <c r="D93" s="1">
        <v>36</v>
      </c>
      <c r="E93" s="1">
        <v>179</v>
      </c>
      <c r="F93" s="1">
        <v>39</v>
      </c>
      <c r="G93" s="1">
        <v>22500</v>
      </c>
      <c r="N93" s="3"/>
      <c r="O93" s="3"/>
      <c r="P93" s="3"/>
      <c r="Q93" s="3"/>
    </row>
    <row r="94" spans="1:17" ht="18" customHeight="1" x14ac:dyDescent="0.2">
      <c r="A94" s="4">
        <v>31656</v>
      </c>
      <c r="B94" s="1">
        <v>282</v>
      </c>
      <c r="C94" s="1">
        <v>24</v>
      </c>
      <c r="D94" s="1">
        <v>38</v>
      </c>
      <c r="E94" s="1">
        <v>185</v>
      </c>
      <c r="F94" s="1">
        <v>36</v>
      </c>
      <c r="G94" s="1">
        <v>22000</v>
      </c>
    </row>
    <row r="95" spans="1:17" ht="18" customHeight="1" x14ac:dyDescent="0.2">
      <c r="A95" s="4">
        <v>31686</v>
      </c>
      <c r="B95" s="1">
        <v>279</v>
      </c>
      <c r="C95" s="1">
        <v>25</v>
      </c>
      <c r="D95" s="1">
        <v>38</v>
      </c>
      <c r="E95" s="1">
        <v>178</v>
      </c>
      <c r="F95" s="1">
        <v>37</v>
      </c>
      <c r="G95" s="1">
        <v>22400</v>
      </c>
    </row>
    <row r="96" spans="1:17" ht="18" customHeight="1" x14ac:dyDescent="0.2">
      <c r="A96" s="4">
        <v>31717</v>
      </c>
      <c r="B96" s="1">
        <v>290</v>
      </c>
      <c r="C96" s="1">
        <v>24</v>
      </c>
      <c r="D96" s="1">
        <v>37</v>
      </c>
      <c r="E96" s="1">
        <v>191</v>
      </c>
      <c r="F96" s="1">
        <v>38</v>
      </c>
      <c r="G96" s="1">
        <v>22200</v>
      </c>
    </row>
    <row r="97" spans="1:17" ht="18" customHeight="1" x14ac:dyDescent="0.2">
      <c r="A97" s="4">
        <v>31747</v>
      </c>
      <c r="B97" s="1">
        <v>289</v>
      </c>
      <c r="C97" s="1">
        <v>28</v>
      </c>
      <c r="D97" s="1">
        <v>47</v>
      </c>
      <c r="E97" s="1">
        <v>177</v>
      </c>
      <c r="F97" s="1">
        <v>36</v>
      </c>
      <c r="G97" s="1">
        <v>21700</v>
      </c>
      <c r="N97" s="3"/>
      <c r="O97" s="3"/>
      <c r="P97" s="3"/>
      <c r="Q97" s="3"/>
    </row>
    <row r="98" spans="1:17" ht="18" customHeight="1" x14ac:dyDescent="0.2">
      <c r="A98" s="4">
        <v>31778</v>
      </c>
      <c r="B98" s="1">
        <v>298</v>
      </c>
      <c r="C98" s="1">
        <v>15</v>
      </c>
      <c r="D98" s="1">
        <v>50</v>
      </c>
      <c r="E98" s="1">
        <v>188</v>
      </c>
      <c r="F98" s="1">
        <v>45</v>
      </c>
      <c r="G98" s="1">
        <v>21300</v>
      </c>
    </row>
    <row r="99" spans="1:17" ht="18" customHeight="1" x14ac:dyDescent="0.2">
      <c r="A99" s="4">
        <v>31809</v>
      </c>
      <c r="B99" s="1">
        <v>253</v>
      </c>
      <c r="C99" s="1">
        <v>16</v>
      </c>
      <c r="D99" s="1">
        <v>30</v>
      </c>
      <c r="E99" s="1">
        <v>172</v>
      </c>
      <c r="F99" s="1">
        <v>35</v>
      </c>
      <c r="G99" s="1">
        <v>20500</v>
      </c>
    </row>
    <row r="100" spans="1:17" ht="18" customHeight="1" x14ac:dyDescent="0.2">
      <c r="A100" s="4">
        <v>31837</v>
      </c>
      <c r="B100" s="1">
        <v>253</v>
      </c>
      <c r="C100" s="1">
        <v>17</v>
      </c>
      <c r="D100" s="1">
        <v>36</v>
      </c>
      <c r="E100" s="1">
        <v>169</v>
      </c>
      <c r="F100" s="1">
        <v>33</v>
      </c>
      <c r="G100" s="1">
        <v>21500</v>
      </c>
    </row>
    <row r="101" spans="1:17" ht="18" customHeight="1" x14ac:dyDescent="0.2">
      <c r="A101" s="4">
        <v>31868</v>
      </c>
      <c r="B101" s="1">
        <v>262</v>
      </c>
      <c r="C101" s="1">
        <v>20</v>
      </c>
      <c r="D101" s="1">
        <v>33</v>
      </c>
      <c r="E101" s="1">
        <v>165</v>
      </c>
      <c r="F101" s="1">
        <v>44</v>
      </c>
      <c r="G101" s="1">
        <v>22200</v>
      </c>
      <c r="N101" s="3"/>
      <c r="O101" s="3"/>
      <c r="P101" s="3"/>
      <c r="Q101" s="3"/>
    </row>
    <row r="102" spans="1:17" ht="18" customHeight="1" x14ac:dyDescent="0.2">
      <c r="A102" s="4">
        <v>31898</v>
      </c>
      <c r="B102" s="1">
        <v>280</v>
      </c>
      <c r="C102" s="1">
        <v>20</v>
      </c>
      <c r="D102" s="1">
        <v>37</v>
      </c>
      <c r="E102" s="1">
        <v>186</v>
      </c>
      <c r="F102" s="1">
        <v>36</v>
      </c>
      <c r="G102" s="1">
        <v>21800</v>
      </c>
    </row>
    <row r="103" spans="1:17" ht="18" customHeight="1" x14ac:dyDescent="0.2">
      <c r="A103" s="4">
        <v>31929</v>
      </c>
      <c r="B103" s="1">
        <v>243</v>
      </c>
      <c r="C103" s="1">
        <v>25</v>
      </c>
      <c r="D103" s="1">
        <v>33</v>
      </c>
      <c r="E103" s="1">
        <v>159</v>
      </c>
      <c r="F103" s="1">
        <v>25</v>
      </c>
      <c r="G103" s="1">
        <v>22200</v>
      </c>
    </row>
    <row r="104" spans="1:17" ht="18" customHeight="1" x14ac:dyDescent="0.2">
      <c r="A104" s="4">
        <v>31959</v>
      </c>
      <c r="B104" s="1">
        <v>260</v>
      </c>
      <c r="C104" s="1">
        <v>25</v>
      </c>
      <c r="D104" s="1">
        <v>36</v>
      </c>
      <c r="E104" s="1">
        <v>164</v>
      </c>
      <c r="F104" s="1">
        <v>35</v>
      </c>
      <c r="G104" s="1">
        <v>22300</v>
      </c>
    </row>
    <row r="105" spans="1:17" ht="18" customHeight="1" x14ac:dyDescent="0.2">
      <c r="A105" s="4">
        <v>31990</v>
      </c>
      <c r="B105" s="1">
        <v>244</v>
      </c>
      <c r="C105" s="1">
        <v>16</v>
      </c>
      <c r="D105" s="1">
        <v>38</v>
      </c>
      <c r="E105" s="1">
        <v>159</v>
      </c>
      <c r="F105" s="1">
        <v>31</v>
      </c>
      <c r="G105" s="1">
        <v>22400</v>
      </c>
      <c r="N105" s="3"/>
      <c r="O105" s="3"/>
      <c r="P105" s="3"/>
      <c r="Q105" s="3"/>
    </row>
    <row r="106" spans="1:17" x14ac:dyDescent="0.2">
      <c r="A106" s="4">
        <v>32021</v>
      </c>
      <c r="B106" s="1">
        <v>248</v>
      </c>
      <c r="C106" s="1">
        <v>25</v>
      </c>
      <c r="D106" s="1">
        <v>35</v>
      </c>
      <c r="E106" s="1">
        <v>154</v>
      </c>
      <c r="F106" s="1">
        <v>35</v>
      </c>
      <c r="G106" s="1">
        <v>22900</v>
      </c>
    </row>
    <row r="107" spans="1:17" x14ac:dyDescent="0.2">
      <c r="A107" s="4">
        <v>32051</v>
      </c>
      <c r="B107" s="1">
        <v>239</v>
      </c>
      <c r="C107" s="1">
        <v>18</v>
      </c>
      <c r="D107" s="1">
        <v>38</v>
      </c>
      <c r="E107" s="1">
        <v>144</v>
      </c>
      <c r="F107" s="1">
        <v>38</v>
      </c>
      <c r="G107" s="1">
        <v>23700</v>
      </c>
    </row>
    <row r="108" spans="1:17" x14ac:dyDescent="0.2">
      <c r="A108" s="4">
        <v>32082</v>
      </c>
      <c r="B108" s="1">
        <v>225</v>
      </c>
      <c r="C108" s="1">
        <v>22</v>
      </c>
      <c r="D108" s="1">
        <v>33</v>
      </c>
      <c r="E108" s="1">
        <v>132</v>
      </c>
      <c r="F108" s="1">
        <v>38</v>
      </c>
      <c r="G108" s="1">
        <v>24400</v>
      </c>
    </row>
    <row r="109" spans="1:17" x14ac:dyDescent="0.2">
      <c r="A109" s="4">
        <v>32112</v>
      </c>
      <c r="B109" s="1">
        <v>268</v>
      </c>
      <c r="C109" s="1">
        <v>29</v>
      </c>
      <c r="D109" s="1">
        <v>54</v>
      </c>
      <c r="E109" s="1">
        <v>149</v>
      </c>
      <c r="F109" s="1">
        <v>36</v>
      </c>
      <c r="G109" s="1">
        <v>23800</v>
      </c>
      <c r="N109" s="3"/>
      <c r="O109" s="3"/>
      <c r="P109" s="3"/>
      <c r="Q109" s="3"/>
    </row>
    <row r="110" spans="1:17" ht="18" customHeight="1" x14ac:dyDescent="0.2">
      <c r="A110" s="4">
        <v>32143</v>
      </c>
      <c r="B110" s="1">
        <v>223</v>
      </c>
      <c r="C110" s="1">
        <v>28</v>
      </c>
      <c r="D110" s="1">
        <v>28</v>
      </c>
      <c r="E110" s="1">
        <v>138</v>
      </c>
      <c r="F110" s="1">
        <v>29</v>
      </c>
      <c r="G110" s="1">
        <v>23200</v>
      </c>
    </row>
    <row r="111" spans="1:17" ht="12.75" customHeight="1" x14ac:dyDescent="0.2">
      <c r="A111" s="4">
        <v>32174</v>
      </c>
      <c r="B111" s="1">
        <v>244</v>
      </c>
      <c r="C111" s="1">
        <v>21</v>
      </c>
      <c r="D111" s="1">
        <v>45</v>
      </c>
      <c r="E111" s="1">
        <v>147</v>
      </c>
      <c r="F111" s="1">
        <v>31</v>
      </c>
      <c r="G111" s="1">
        <v>23500</v>
      </c>
    </row>
    <row r="112" spans="1:17" ht="18" customHeight="1" x14ac:dyDescent="0.2">
      <c r="A112" s="4">
        <v>32203</v>
      </c>
      <c r="B112" s="1">
        <v>240</v>
      </c>
      <c r="C112" s="1">
        <v>21</v>
      </c>
      <c r="D112" s="1">
        <v>40</v>
      </c>
      <c r="E112" s="1">
        <v>146</v>
      </c>
      <c r="F112" s="1">
        <v>33</v>
      </c>
      <c r="G112" s="1">
        <v>23000</v>
      </c>
    </row>
    <row r="113" spans="1:17" ht="18" customHeight="1" x14ac:dyDescent="0.2">
      <c r="A113" s="4">
        <v>32234</v>
      </c>
      <c r="B113" s="1">
        <v>239</v>
      </c>
      <c r="C113" s="1">
        <v>21</v>
      </c>
      <c r="D113" s="1">
        <v>50</v>
      </c>
      <c r="E113" s="1">
        <v>145</v>
      </c>
      <c r="F113" s="1">
        <v>24</v>
      </c>
      <c r="G113" s="1">
        <v>23800</v>
      </c>
      <c r="N113" s="3"/>
      <c r="O113" s="3"/>
      <c r="P113" s="3"/>
      <c r="Q113" s="3"/>
    </row>
    <row r="114" spans="1:17" ht="18" customHeight="1" x14ac:dyDescent="0.2">
      <c r="A114" s="4">
        <v>32264</v>
      </c>
      <c r="B114" s="1">
        <v>245</v>
      </c>
      <c r="C114" s="1">
        <v>27</v>
      </c>
      <c r="D114" s="1">
        <v>34</v>
      </c>
      <c r="E114" s="1">
        <v>151</v>
      </c>
      <c r="F114" s="1">
        <v>32</v>
      </c>
      <c r="G114" s="1">
        <v>23500</v>
      </c>
    </row>
    <row r="115" spans="1:17" ht="18" customHeight="1" x14ac:dyDescent="0.2">
      <c r="A115" s="4">
        <v>32295</v>
      </c>
      <c r="B115" s="1">
        <v>238</v>
      </c>
      <c r="C115" s="1">
        <v>24</v>
      </c>
      <c r="D115" s="1">
        <v>38</v>
      </c>
      <c r="E115" s="1">
        <v>148</v>
      </c>
      <c r="F115" s="1">
        <v>28</v>
      </c>
      <c r="G115" s="1">
        <v>23900</v>
      </c>
    </row>
    <row r="116" spans="1:17" ht="18" customHeight="1" x14ac:dyDescent="0.2">
      <c r="A116" s="4">
        <v>32325</v>
      </c>
      <c r="B116" s="1">
        <v>242</v>
      </c>
      <c r="C116" s="1">
        <v>21</v>
      </c>
      <c r="D116" s="1">
        <v>37</v>
      </c>
      <c r="E116" s="1">
        <v>152</v>
      </c>
      <c r="F116" s="1">
        <v>31</v>
      </c>
      <c r="G116" s="1">
        <v>23200</v>
      </c>
    </row>
    <row r="117" spans="1:17" ht="18" customHeight="1" x14ac:dyDescent="0.2">
      <c r="A117" s="4">
        <v>32356</v>
      </c>
      <c r="B117" s="1">
        <v>240</v>
      </c>
      <c r="C117" s="1">
        <v>26</v>
      </c>
      <c r="D117" s="1">
        <v>39</v>
      </c>
      <c r="E117" s="1">
        <v>143</v>
      </c>
      <c r="F117" s="1">
        <v>32</v>
      </c>
      <c r="G117" s="1">
        <v>24000</v>
      </c>
      <c r="N117" s="3"/>
      <c r="O117" s="3"/>
      <c r="P117" s="3"/>
      <c r="Q117" s="3"/>
    </row>
    <row r="118" spans="1:17" ht="18" customHeight="1" x14ac:dyDescent="0.2">
      <c r="A118" s="4">
        <v>32387</v>
      </c>
      <c r="B118" s="1">
        <v>240</v>
      </c>
      <c r="C118" s="1">
        <v>19</v>
      </c>
      <c r="D118" s="1">
        <v>39</v>
      </c>
      <c r="E118" s="1">
        <v>148</v>
      </c>
      <c r="F118" s="1">
        <v>34</v>
      </c>
      <c r="G118" s="1">
        <v>24000</v>
      </c>
    </row>
    <row r="119" spans="1:17" ht="18" customHeight="1" x14ac:dyDescent="0.2">
      <c r="A119" s="4">
        <v>32417</v>
      </c>
      <c r="B119" s="1">
        <v>239</v>
      </c>
      <c r="C119" s="1">
        <v>25</v>
      </c>
      <c r="D119" s="1">
        <v>34</v>
      </c>
      <c r="E119" s="1">
        <v>150</v>
      </c>
      <c r="F119" s="1">
        <v>30</v>
      </c>
      <c r="G119" s="1">
        <v>23800</v>
      </c>
    </row>
    <row r="120" spans="1:17" ht="18" customHeight="1" x14ac:dyDescent="0.2">
      <c r="A120" s="4">
        <v>32448</v>
      </c>
      <c r="B120" s="1">
        <v>242</v>
      </c>
      <c r="C120" s="1">
        <v>27</v>
      </c>
      <c r="D120" s="1">
        <v>54</v>
      </c>
      <c r="E120" s="1">
        <v>133</v>
      </c>
      <c r="F120" s="1">
        <v>28</v>
      </c>
      <c r="G120" s="1">
        <v>24000</v>
      </c>
    </row>
    <row r="121" spans="1:17" ht="18" customHeight="1" x14ac:dyDescent="0.2">
      <c r="A121" s="4">
        <v>32478</v>
      </c>
      <c r="B121" s="1">
        <v>230</v>
      </c>
      <c r="C121" s="1">
        <v>23</v>
      </c>
      <c r="D121" s="1">
        <v>37</v>
      </c>
      <c r="E121" s="1">
        <v>143</v>
      </c>
      <c r="F121" s="1">
        <v>27</v>
      </c>
      <c r="G121" s="1">
        <v>24300</v>
      </c>
      <c r="N121" s="3"/>
      <c r="O121" s="3"/>
      <c r="P121" s="3"/>
      <c r="Q121" s="3"/>
    </row>
    <row r="122" spans="1:17" ht="18" customHeight="1" x14ac:dyDescent="0.2">
      <c r="A122" s="4">
        <v>32509</v>
      </c>
      <c r="B122" s="1">
        <v>208</v>
      </c>
      <c r="C122" s="1">
        <v>19</v>
      </c>
      <c r="D122" s="1">
        <v>43</v>
      </c>
      <c r="E122" s="1">
        <v>113</v>
      </c>
      <c r="F122" s="1">
        <v>34</v>
      </c>
      <c r="G122" s="1">
        <v>23800</v>
      </c>
    </row>
    <row r="123" spans="1:17" ht="18" customHeight="1" x14ac:dyDescent="0.2">
      <c r="A123" s="4">
        <v>32540</v>
      </c>
      <c r="B123" s="1">
        <v>227</v>
      </c>
      <c r="C123" s="1">
        <v>26</v>
      </c>
      <c r="D123" s="1">
        <v>37</v>
      </c>
      <c r="E123" s="1">
        <v>132</v>
      </c>
      <c r="F123" s="1">
        <v>32</v>
      </c>
      <c r="G123" s="1">
        <v>23400</v>
      </c>
    </row>
    <row r="124" spans="1:17" x14ac:dyDescent="0.2">
      <c r="A124" s="4">
        <v>32568</v>
      </c>
      <c r="B124" s="1">
        <v>234</v>
      </c>
      <c r="C124" s="1">
        <v>17</v>
      </c>
      <c r="D124" s="1">
        <v>39</v>
      </c>
      <c r="E124" s="1">
        <v>149</v>
      </c>
      <c r="F124" s="1">
        <v>29</v>
      </c>
      <c r="G124" s="1">
        <v>23200</v>
      </c>
    </row>
    <row r="125" spans="1:17" x14ac:dyDescent="0.2">
      <c r="A125" s="4">
        <v>32599</v>
      </c>
      <c r="B125" s="1">
        <v>226</v>
      </c>
      <c r="C125" s="1">
        <v>22</v>
      </c>
      <c r="D125" s="1">
        <v>40</v>
      </c>
      <c r="E125" s="1">
        <v>131</v>
      </c>
      <c r="F125" s="1">
        <v>32</v>
      </c>
      <c r="G125" s="1">
        <v>23400</v>
      </c>
      <c r="N125" s="3"/>
      <c r="O125" s="3"/>
      <c r="P125" s="3"/>
      <c r="Q125" s="3"/>
    </row>
    <row r="126" spans="1:17" x14ac:dyDescent="0.2">
      <c r="A126" s="4">
        <v>32629</v>
      </c>
      <c r="B126" s="1">
        <v>223</v>
      </c>
      <c r="C126" s="1">
        <v>21</v>
      </c>
      <c r="D126" s="1">
        <v>42</v>
      </c>
      <c r="E126" s="1">
        <v>133</v>
      </c>
      <c r="F126" s="1">
        <v>26</v>
      </c>
      <c r="G126" s="1">
        <v>24400</v>
      </c>
    </row>
    <row r="127" spans="1:17" x14ac:dyDescent="0.2">
      <c r="A127" s="4">
        <v>32660</v>
      </c>
      <c r="B127" s="1">
        <v>239</v>
      </c>
      <c r="C127" s="1">
        <v>26</v>
      </c>
      <c r="D127" s="1">
        <v>40</v>
      </c>
      <c r="E127" s="1">
        <v>134</v>
      </c>
      <c r="F127" s="1">
        <v>39</v>
      </c>
      <c r="G127" s="1">
        <v>25100</v>
      </c>
    </row>
    <row r="128" spans="1:17" ht="18" customHeight="1" x14ac:dyDescent="0.2">
      <c r="A128" s="4">
        <v>32690</v>
      </c>
      <c r="B128" s="1">
        <v>194</v>
      </c>
      <c r="C128" s="1">
        <v>19</v>
      </c>
      <c r="D128" s="1">
        <v>32</v>
      </c>
      <c r="E128" s="1">
        <v>113</v>
      </c>
      <c r="F128" s="1">
        <v>30</v>
      </c>
      <c r="G128" s="1">
        <v>25400</v>
      </c>
    </row>
    <row r="129" spans="1:17" x14ac:dyDescent="0.2">
      <c r="A129" s="4">
        <v>32721</v>
      </c>
      <c r="B129" s="1">
        <v>233</v>
      </c>
      <c r="C129" s="1">
        <v>25</v>
      </c>
      <c r="D129" s="1">
        <v>46</v>
      </c>
      <c r="E129" s="1">
        <v>133</v>
      </c>
      <c r="F129" s="1">
        <v>30</v>
      </c>
      <c r="G129" s="1">
        <v>26300</v>
      </c>
      <c r="N129" s="3"/>
      <c r="O129" s="3"/>
      <c r="P129" s="3"/>
      <c r="Q129" s="3"/>
    </row>
    <row r="130" spans="1:17" ht="18" customHeight="1" x14ac:dyDescent="0.2">
      <c r="A130" s="4">
        <v>32752</v>
      </c>
      <c r="B130" s="1">
        <v>215</v>
      </c>
      <c r="C130" s="1">
        <v>19</v>
      </c>
      <c r="D130" s="1">
        <v>35</v>
      </c>
      <c r="E130" s="1">
        <v>130</v>
      </c>
      <c r="F130" s="1">
        <v>32</v>
      </c>
      <c r="G130" s="1">
        <v>26300</v>
      </c>
    </row>
    <row r="131" spans="1:17" ht="18" customHeight="1" x14ac:dyDescent="0.2">
      <c r="A131" s="4">
        <v>32782</v>
      </c>
      <c r="B131" s="1">
        <v>224</v>
      </c>
      <c r="C131" s="1">
        <v>27</v>
      </c>
      <c r="D131" s="1">
        <v>37</v>
      </c>
      <c r="E131" s="1">
        <v>130</v>
      </c>
      <c r="F131" s="1">
        <v>30</v>
      </c>
      <c r="G131" s="1">
        <v>26600</v>
      </c>
    </row>
    <row r="132" spans="1:17" ht="18" customHeight="1" x14ac:dyDescent="0.2">
      <c r="A132" s="4">
        <v>32813</v>
      </c>
      <c r="B132" s="1">
        <v>231</v>
      </c>
      <c r="C132" s="1">
        <v>22</v>
      </c>
      <c r="D132" s="1">
        <v>40</v>
      </c>
      <c r="E132" s="1">
        <v>136</v>
      </c>
      <c r="F132" s="1">
        <v>34</v>
      </c>
      <c r="G132" s="1">
        <v>25200</v>
      </c>
    </row>
    <row r="133" spans="1:17" ht="18" customHeight="1" x14ac:dyDescent="0.2">
      <c r="A133" s="4">
        <v>32843</v>
      </c>
      <c r="B133" s="1">
        <v>226</v>
      </c>
      <c r="C133" s="1">
        <v>28</v>
      </c>
      <c r="D133" s="1">
        <v>40</v>
      </c>
      <c r="E133" s="1">
        <v>125</v>
      </c>
      <c r="F133" s="1">
        <v>32</v>
      </c>
      <c r="G133" s="1">
        <v>26600</v>
      </c>
      <c r="N133" s="3"/>
      <c r="O133" s="3"/>
      <c r="P133" s="3"/>
      <c r="Q133" s="3"/>
    </row>
    <row r="134" spans="1:17" ht="18" customHeight="1" x14ac:dyDescent="0.2">
      <c r="A134" s="4">
        <v>32874</v>
      </c>
      <c r="B134" s="1">
        <v>206</v>
      </c>
      <c r="C134" s="1">
        <v>31</v>
      </c>
      <c r="D134" s="1">
        <v>28</v>
      </c>
      <c r="E134" s="1">
        <v>121</v>
      </c>
      <c r="F134" s="1">
        <v>26</v>
      </c>
      <c r="G134" s="1">
        <v>27500</v>
      </c>
    </row>
    <row r="135" spans="1:17" ht="18" customHeight="1" x14ac:dyDescent="0.2">
      <c r="A135" s="4">
        <v>32905</v>
      </c>
      <c r="B135" s="1">
        <v>206</v>
      </c>
      <c r="C135" s="1">
        <v>20</v>
      </c>
      <c r="D135" s="1">
        <v>39</v>
      </c>
      <c r="E135" s="1">
        <v>118</v>
      </c>
      <c r="F135" s="1">
        <v>29</v>
      </c>
      <c r="G135" s="1">
        <v>25800</v>
      </c>
    </row>
    <row r="136" spans="1:17" ht="18" customHeight="1" x14ac:dyDescent="0.2">
      <c r="A136" s="4">
        <v>32933</v>
      </c>
      <c r="B136" s="1">
        <v>207</v>
      </c>
      <c r="C136" s="1">
        <v>17</v>
      </c>
      <c r="D136" s="1">
        <v>47</v>
      </c>
      <c r="E136" s="1">
        <v>110</v>
      </c>
      <c r="F136" s="1">
        <v>32</v>
      </c>
      <c r="G136" s="1">
        <v>25600</v>
      </c>
    </row>
    <row r="137" spans="1:17" ht="18" customHeight="1" x14ac:dyDescent="0.2">
      <c r="A137" s="4">
        <v>32964</v>
      </c>
      <c r="B137" s="1">
        <v>207</v>
      </c>
      <c r="C137" s="1">
        <v>16</v>
      </c>
      <c r="D137" s="1">
        <v>41</v>
      </c>
      <c r="E137" s="1">
        <v>120</v>
      </c>
      <c r="F137" s="1">
        <v>31</v>
      </c>
      <c r="G137" s="1">
        <v>26000</v>
      </c>
      <c r="N137" s="3"/>
      <c r="O137" s="3"/>
      <c r="P137" s="3"/>
      <c r="Q137" s="3"/>
    </row>
    <row r="138" spans="1:17" ht="18" customHeight="1" x14ac:dyDescent="0.2">
      <c r="A138" s="4">
        <v>32994</v>
      </c>
      <c r="B138" s="1">
        <v>200</v>
      </c>
      <c r="C138" s="1">
        <v>20</v>
      </c>
      <c r="D138" s="1">
        <v>40</v>
      </c>
      <c r="E138" s="1">
        <v>109</v>
      </c>
      <c r="F138" s="1">
        <v>30</v>
      </c>
      <c r="G138" s="1">
        <v>26800</v>
      </c>
    </row>
    <row r="139" spans="1:17" ht="18" customHeight="1" x14ac:dyDescent="0.2">
      <c r="A139" s="4">
        <v>33025</v>
      </c>
      <c r="B139" s="1">
        <v>186</v>
      </c>
      <c r="C139" s="1">
        <v>16</v>
      </c>
      <c r="D139" s="1">
        <v>33</v>
      </c>
      <c r="E139" s="1">
        <v>107</v>
      </c>
      <c r="F139" s="1">
        <v>30</v>
      </c>
      <c r="G139" s="1">
        <v>26900</v>
      </c>
    </row>
    <row r="140" spans="1:17" ht="18" customHeight="1" x14ac:dyDescent="0.2">
      <c r="A140" s="4">
        <v>33055</v>
      </c>
      <c r="B140" s="1">
        <v>196</v>
      </c>
      <c r="C140" s="1">
        <v>22</v>
      </c>
      <c r="D140" s="1">
        <v>40</v>
      </c>
      <c r="E140" s="1">
        <v>106</v>
      </c>
      <c r="F140" s="1">
        <v>28</v>
      </c>
      <c r="G140" s="1">
        <v>28400</v>
      </c>
    </row>
    <row r="141" spans="1:17" ht="18" customHeight="1" x14ac:dyDescent="0.2">
      <c r="A141" s="4">
        <v>33086</v>
      </c>
      <c r="B141" s="1">
        <v>201</v>
      </c>
      <c r="C141" s="1">
        <v>23</v>
      </c>
      <c r="D141" s="1">
        <v>32</v>
      </c>
      <c r="E141" s="1">
        <v>118</v>
      </c>
      <c r="F141" s="1">
        <v>29</v>
      </c>
      <c r="G141" s="1">
        <v>27600</v>
      </c>
      <c r="N141" s="3"/>
      <c r="O141" s="3"/>
      <c r="P141" s="3"/>
      <c r="Q141" s="3"/>
    </row>
    <row r="142" spans="1:17" x14ac:dyDescent="0.2">
      <c r="A142" s="4">
        <v>33117</v>
      </c>
      <c r="B142" s="1">
        <v>206</v>
      </c>
      <c r="C142" s="1">
        <v>22</v>
      </c>
      <c r="D142" s="1">
        <v>44</v>
      </c>
      <c r="E142" s="1">
        <v>109</v>
      </c>
      <c r="F142" s="1">
        <v>30</v>
      </c>
      <c r="G142" s="1">
        <v>27800</v>
      </c>
    </row>
    <row r="143" spans="1:17" x14ac:dyDescent="0.2">
      <c r="A143" s="4">
        <v>33147</v>
      </c>
      <c r="B143" s="1">
        <v>217</v>
      </c>
      <c r="C143" s="1">
        <v>21</v>
      </c>
      <c r="D143" s="1">
        <v>48</v>
      </c>
      <c r="E143" s="1">
        <v>116</v>
      </c>
      <c r="F143" s="1">
        <v>32</v>
      </c>
      <c r="G143" s="1">
        <v>27200</v>
      </c>
    </row>
    <row r="144" spans="1:17" x14ac:dyDescent="0.2">
      <c r="A144" s="4">
        <v>33178</v>
      </c>
      <c r="B144" s="1">
        <v>211</v>
      </c>
      <c r="C144" s="1">
        <v>20</v>
      </c>
      <c r="D144" s="1">
        <v>41</v>
      </c>
      <c r="E144" s="1">
        <v>116</v>
      </c>
      <c r="F144" s="1">
        <v>34</v>
      </c>
      <c r="G144" s="1">
        <v>27400</v>
      </c>
    </row>
    <row r="145" spans="1:17" x14ac:dyDescent="0.2">
      <c r="A145" s="4">
        <v>33208</v>
      </c>
      <c r="B145" s="1">
        <v>192</v>
      </c>
      <c r="C145" s="1">
        <v>17</v>
      </c>
      <c r="D145" s="1">
        <v>35</v>
      </c>
      <c r="E145" s="1">
        <v>107</v>
      </c>
      <c r="F145" s="1">
        <v>34</v>
      </c>
      <c r="G145" s="1">
        <v>29700</v>
      </c>
      <c r="N145" s="3"/>
      <c r="O145" s="3"/>
      <c r="P145" s="3"/>
      <c r="Q145" s="3"/>
    </row>
    <row r="146" spans="1:17" ht="18" customHeight="1" x14ac:dyDescent="0.2">
      <c r="A146" s="4">
        <v>33239</v>
      </c>
      <c r="B146" s="1">
        <v>207</v>
      </c>
      <c r="C146" s="1">
        <v>19</v>
      </c>
      <c r="D146" s="1">
        <v>41</v>
      </c>
      <c r="E146" s="1">
        <v>114</v>
      </c>
      <c r="F146" s="1">
        <v>32</v>
      </c>
      <c r="G146" s="1">
        <v>27600</v>
      </c>
    </row>
    <row r="147" spans="1:17" x14ac:dyDescent="0.2">
      <c r="A147" s="4">
        <v>33270</v>
      </c>
      <c r="B147" s="1">
        <v>193</v>
      </c>
      <c r="C147" s="1">
        <v>14</v>
      </c>
      <c r="D147" s="1">
        <v>39</v>
      </c>
      <c r="E147" s="1">
        <v>115</v>
      </c>
      <c r="F147" s="1">
        <v>26</v>
      </c>
      <c r="G147" s="1">
        <v>25400</v>
      </c>
    </row>
    <row r="148" spans="1:17" ht="18" customHeight="1" x14ac:dyDescent="0.2">
      <c r="A148" s="4">
        <v>33298</v>
      </c>
      <c r="B148" s="1">
        <v>193</v>
      </c>
      <c r="C148" s="1">
        <v>12</v>
      </c>
      <c r="D148" s="1">
        <v>44</v>
      </c>
      <c r="E148" s="1">
        <v>108</v>
      </c>
      <c r="F148" s="1">
        <v>29</v>
      </c>
      <c r="G148" s="1">
        <v>27100</v>
      </c>
    </row>
    <row r="149" spans="1:17" ht="18" customHeight="1" x14ac:dyDescent="0.2">
      <c r="A149" s="4">
        <v>33329</v>
      </c>
      <c r="B149" s="1">
        <v>196</v>
      </c>
      <c r="C149" s="1">
        <v>19</v>
      </c>
      <c r="D149" s="1">
        <v>34</v>
      </c>
      <c r="E149" s="1">
        <v>111</v>
      </c>
      <c r="F149" s="1">
        <v>32</v>
      </c>
      <c r="G149" s="1">
        <v>27300</v>
      </c>
      <c r="N149" s="3"/>
      <c r="O149" s="3"/>
      <c r="P149" s="3"/>
      <c r="Q149" s="3"/>
    </row>
    <row r="150" spans="1:17" ht="18" customHeight="1" x14ac:dyDescent="0.2">
      <c r="A150" s="4">
        <v>33359</v>
      </c>
      <c r="B150" s="1">
        <v>204</v>
      </c>
      <c r="C150" s="1">
        <v>21</v>
      </c>
      <c r="D150" s="1">
        <v>43</v>
      </c>
      <c r="E150" s="1">
        <v>107</v>
      </c>
      <c r="F150" s="1">
        <v>33</v>
      </c>
      <c r="G150" s="1">
        <v>27600</v>
      </c>
    </row>
    <row r="151" spans="1:17" ht="18" customHeight="1" x14ac:dyDescent="0.2">
      <c r="A151" s="4">
        <v>33390</v>
      </c>
      <c r="B151" s="1">
        <v>206</v>
      </c>
      <c r="C151" s="1">
        <v>20</v>
      </c>
      <c r="D151" s="1">
        <v>41</v>
      </c>
      <c r="E151" s="1">
        <v>114</v>
      </c>
      <c r="F151" s="1">
        <v>31</v>
      </c>
      <c r="G151" s="1">
        <v>27800</v>
      </c>
    </row>
    <row r="152" spans="1:17" ht="18" customHeight="1" x14ac:dyDescent="0.2">
      <c r="A152" s="4">
        <v>33420</v>
      </c>
      <c r="B152" s="1">
        <v>221</v>
      </c>
      <c r="C152" s="1">
        <v>22</v>
      </c>
      <c r="D152" s="1">
        <v>34</v>
      </c>
      <c r="E152" s="1">
        <v>131</v>
      </c>
      <c r="F152" s="1">
        <v>34</v>
      </c>
      <c r="G152" s="1">
        <v>28100</v>
      </c>
    </row>
    <row r="153" spans="1:17" ht="18" customHeight="1" x14ac:dyDescent="0.2">
      <c r="A153" s="4">
        <v>33451</v>
      </c>
      <c r="B153" s="1">
        <v>190</v>
      </c>
      <c r="C153" s="1">
        <v>22</v>
      </c>
      <c r="D153" s="1">
        <v>35</v>
      </c>
      <c r="E153" s="1">
        <v>99</v>
      </c>
      <c r="F153" s="1">
        <v>33</v>
      </c>
      <c r="G153" s="1">
        <v>27900</v>
      </c>
      <c r="N153" s="3"/>
      <c r="O153" s="3"/>
      <c r="P153" s="3"/>
      <c r="Q153" s="3"/>
    </row>
    <row r="154" spans="1:17" ht="18" customHeight="1" x14ac:dyDescent="0.2">
      <c r="A154" s="4">
        <v>33482</v>
      </c>
      <c r="B154" s="1">
        <v>188</v>
      </c>
      <c r="C154" s="1">
        <v>23</v>
      </c>
      <c r="D154" s="1">
        <v>38</v>
      </c>
      <c r="E154" s="1">
        <v>99</v>
      </c>
      <c r="F154" s="1">
        <v>29</v>
      </c>
      <c r="G154" s="1">
        <v>28200</v>
      </c>
    </row>
    <row r="155" spans="1:17" ht="18" customHeight="1" x14ac:dyDescent="0.2">
      <c r="A155" s="4">
        <v>33512</v>
      </c>
      <c r="B155" s="1">
        <v>170</v>
      </c>
      <c r="C155" s="1">
        <v>15</v>
      </c>
      <c r="D155" s="1">
        <v>35</v>
      </c>
      <c r="E155" s="1">
        <v>93</v>
      </c>
      <c r="F155" s="1">
        <v>27</v>
      </c>
      <c r="G155" s="1">
        <v>28200</v>
      </c>
    </row>
    <row r="156" spans="1:17" ht="18" customHeight="1" x14ac:dyDescent="0.2">
      <c r="A156" s="4">
        <v>33543</v>
      </c>
      <c r="B156" s="1">
        <v>190</v>
      </c>
      <c r="C156" s="1">
        <v>15</v>
      </c>
      <c r="D156" s="1">
        <v>38</v>
      </c>
      <c r="E156" s="1">
        <v>111</v>
      </c>
      <c r="F156" s="1">
        <v>26</v>
      </c>
      <c r="G156" s="1">
        <v>28300</v>
      </c>
    </row>
    <row r="157" spans="1:17" ht="18" customHeight="1" x14ac:dyDescent="0.2">
      <c r="A157" s="4">
        <v>33573</v>
      </c>
      <c r="B157" s="1">
        <v>187</v>
      </c>
      <c r="C157" s="1">
        <v>17</v>
      </c>
      <c r="D157" s="1">
        <v>33</v>
      </c>
      <c r="E157" s="1">
        <v>104</v>
      </c>
      <c r="F157" s="1">
        <v>33</v>
      </c>
      <c r="G157" s="1">
        <v>29600</v>
      </c>
      <c r="N157" s="3"/>
      <c r="O157" s="3"/>
      <c r="P157" s="3"/>
      <c r="Q157" s="3"/>
    </row>
    <row r="158" spans="1:17" ht="18" customHeight="1" x14ac:dyDescent="0.2">
      <c r="A158" s="4">
        <v>33604</v>
      </c>
      <c r="B158" s="1">
        <v>142</v>
      </c>
      <c r="C158" s="1">
        <v>17</v>
      </c>
      <c r="D158" s="1">
        <v>25</v>
      </c>
      <c r="E158" s="1">
        <v>77</v>
      </c>
      <c r="F158" s="1">
        <v>23</v>
      </c>
      <c r="G158" s="1">
        <v>27900</v>
      </c>
    </row>
    <row r="159" spans="1:17" ht="18" customHeight="1" x14ac:dyDescent="0.2">
      <c r="A159" s="4">
        <v>33635</v>
      </c>
      <c r="B159" s="1">
        <v>169</v>
      </c>
      <c r="C159" s="1">
        <v>17</v>
      </c>
      <c r="D159" s="1">
        <v>44</v>
      </c>
      <c r="E159" s="1">
        <v>82</v>
      </c>
      <c r="F159" s="1">
        <v>25</v>
      </c>
      <c r="G159" s="1">
        <v>26100</v>
      </c>
    </row>
    <row r="160" spans="1:17" x14ac:dyDescent="0.2">
      <c r="A160" s="4">
        <v>33664</v>
      </c>
      <c r="B160" s="1">
        <v>181</v>
      </c>
      <c r="C160" s="1">
        <v>10</v>
      </c>
      <c r="D160" s="1">
        <v>38</v>
      </c>
      <c r="E160" s="1">
        <v>107</v>
      </c>
      <c r="F160" s="1">
        <v>26</v>
      </c>
      <c r="G160" s="1">
        <v>26100</v>
      </c>
    </row>
    <row r="161" spans="1:17" x14ac:dyDescent="0.2">
      <c r="A161" s="4">
        <v>33695</v>
      </c>
      <c r="B161" s="1">
        <v>168</v>
      </c>
      <c r="C161" s="1">
        <v>14</v>
      </c>
      <c r="D161" s="1">
        <v>37</v>
      </c>
      <c r="E161" s="1">
        <v>91</v>
      </c>
      <c r="F161" s="1">
        <v>26</v>
      </c>
      <c r="G161" s="1">
        <v>26400</v>
      </c>
      <c r="N161" s="3"/>
      <c r="O161" s="3"/>
      <c r="P161" s="3"/>
      <c r="Q161" s="3"/>
    </row>
    <row r="162" spans="1:17" x14ac:dyDescent="0.2">
      <c r="A162" s="4">
        <v>33725</v>
      </c>
      <c r="B162" s="1">
        <v>167</v>
      </c>
      <c r="C162" s="1">
        <v>12</v>
      </c>
      <c r="D162" s="1">
        <v>34</v>
      </c>
      <c r="E162" s="1">
        <v>95</v>
      </c>
      <c r="F162" s="1">
        <v>26</v>
      </c>
      <c r="G162" s="1">
        <v>28400</v>
      </c>
    </row>
    <row r="163" spans="1:17" x14ac:dyDescent="0.2">
      <c r="A163" s="4">
        <v>33756</v>
      </c>
      <c r="B163" s="1">
        <v>169</v>
      </c>
      <c r="C163" s="1">
        <v>13</v>
      </c>
      <c r="D163" s="1">
        <v>33</v>
      </c>
      <c r="E163" s="1">
        <v>98</v>
      </c>
      <c r="F163" s="1">
        <v>26</v>
      </c>
      <c r="G163" s="1">
        <v>27800</v>
      </c>
    </row>
    <row r="164" spans="1:17" ht="18" customHeight="1" x14ac:dyDescent="0.2">
      <c r="A164" s="4">
        <v>33786</v>
      </c>
      <c r="B164" s="1">
        <v>174</v>
      </c>
      <c r="C164" s="1">
        <v>14</v>
      </c>
      <c r="D164" s="1">
        <v>34</v>
      </c>
      <c r="E164" s="1">
        <v>97</v>
      </c>
      <c r="F164" s="1">
        <v>29</v>
      </c>
      <c r="G164" s="1">
        <v>27900</v>
      </c>
    </row>
    <row r="165" spans="1:17" x14ac:dyDescent="0.2">
      <c r="A165" s="4">
        <v>33817</v>
      </c>
      <c r="B165" s="1">
        <v>184</v>
      </c>
      <c r="C165" s="1">
        <v>18</v>
      </c>
      <c r="D165" s="1">
        <v>33</v>
      </c>
      <c r="E165" s="1">
        <v>106</v>
      </c>
      <c r="F165" s="1">
        <v>27</v>
      </c>
      <c r="G165" s="1">
        <v>27700</v>
      </c>
      <c r="N165" s="3"/>
      <c r="O165" s="3"/>
      <c r="P165" s="3"/>
      <c r="Q165" s="3"/>
    </row>
    <row r="166" spans="1:17" ht="18" customHeight="1" x14ac:dyDescent="0.2">
      <c r="A166" s="4">
        <v>33848</v>
      </c>
      <c r="B166" s="1">
        <v>186</v>
      </c>
      <c r="C166" s="1">
        <v>15</v>
      </c>
      <c r="D166" s="1">
        <v>34</v>
      </c>
      <c r="E166" s="1">
        <v>110</v>
      </c>
      <c r="F166" s="1">
        <v>28</v>
      </c>
      <c r="G166" s="1">
        <v>28500</v>
      </c>
    </row>
    <row r="167" spans="1:17" ht="18" customHeight="1" x14ac:dyDescent="0.2">
      <c r="A167" s="4">
        <v>33878</v>
      </c>
      <c r="B167" s="1">
        <v>180</v>
      </c>
      <c r="C167" s="1">
        <v>13</v>
      </c>
      <c r="D167" s="1">
        <v>36</v>
      </c>
      <c r="E167" s="1">
        <v>103</v>
      </c>
      <c r="F167" s="1">
        <v>28</v>
      </c>
      <c r="G167" s="1">
        <v>28300</v>
      </c>
    </row>
    <row r="168" spans="1:17" ht="18" customHeight="1" x14ac:dyDescent="0.2">
      <c r="A168" s="4">
        <v>33909</v>
      </c>
      <c r="B168" s="1">
        <v>188</v>
      </c>
      <c r="C168" s="1">
        <v>15</v>
      </c>
      <c r="D168" s="1">
        <v>44</v>
      </c>
      <c r="E168" s="1">
        <v>101</v>
      </c>
      <c r="F168" s="1">
        <v>28</v>
      </c>
      <c r="G168" s="1">
        <v>28300</v>
      </c>
    </row>
    <row r="169" spans="1:17" ht="18" customHeight="1" x14ac:dyDescent="0.2">
      <c r="A169" s="4">
        <v>33939</v>
      </c>
      <c r="B169" s="1">
        <v>184</v>
      </c>
      <c r="C169" s="1">
        <v>20</v>
      </c>
      <c r="D169" s="1">
        <v>37</v>
      </c>
      <c r="E169" s="1">
        <v>98</v>
      </c>
      <c r="F169" s="1">
        <v>29</v>
      </c>
      <c r="G169" s="1">
        <v>28700</v>
      </c>
      <c r="N169" s="3"/>
      <c r="O169" s="3"/>
      <c r="P169" s="3"/>
      <c r="Q169" s="3"/>
    </row>
    <row r="170" spans="1:17" ht="18" customHeight="1" x14ac:dyDescent="0.2">
      <c r="A170" s="4">
        <v>33970</v>
      </c>
      <c r="B170" s="1">
        <v>205</v>
      </c>
      <c r="C170" s="1">
        <v>18</v>
      </c>
      <c r="D170" s="1">
        <v>42</v>
      </c>
      <c r="E170" s="1">
        <v>113</v>
      </c>
      <c r="F170" s="1">
        <v>31</v>
      </c>
      <c r="G170" s="1">
        <v>27900</v>
      </c>
    </row>
    <row r="171" spans="1:17" ht="18" customHeight="1" x14ac:dyDescent="0.2">
      <c r="A171" s="4">
        <v>34001</v>
      </c>
      <c r="B171" s="1">
        <v>220</v>
      </c>
      <c r="C171" s="1">
        <v>15</v>
      </c>
      <c r="D171" s="1">
        <v>46</v>
      </c>
      <c r="E171" s="1">
        <v>140</v>
      </c>
      <c r="F171" s="1">
        <v>19</v>
      </c>
      <c r="G171" s="1">
        <v>25400</v>
      </c>
    </row>
    <row r="172" spans="1:17" ht="18" customHeight="1" x14ac:dyDescent="0.2">
      <c r="A172" s="4">
        <v>34029</v>
      </c>
      <c r="B172" s="1">
        <v>227</v>
      </c>
      <c r="C172" s="1">
        <v>10</v>
      </c>
      <c r="D172" s="1">
        <v>53</v>
      </c>
      <c r="E172" s="1">
        <v>124</v>
      </c>
      <c r="F172" s="1">
        <v>40</v>
      </c>
      <c r="G172" s="1">
        <v>26900</v>
      </c>
    </row>
    <row r="173" spans="1:17" ht="18" customHeight="1" x14ac:dyDescent="0.2">
      <c r="A173" s="4">
        <v>34060</v>
      </c>
      <c r="B173" s="1">
        <v>193</v>
      </c>
      <c r="C173" s="1">
        <v>12</v>
      </c>
      <c r="D173" s="1">
        <v>41</v>
      </c>
      <c r="E173" s="1">
        <v>113</v>
      </c>
      <c r="F173" s="1">
        <v>28</v>
      </c>
      <c r="G173" s="1">
        <v>26100</v>
      </c>
      <c r="N173" s="3"/>
      <c r="O173" s="3"/>
      <c r="P173" s="3"/>
      <c r="Q173" s="3"/>
    </row>
    <row r="174" spans="1:17" ht="18" customHeight="1" x14ac:dyDescent="0.2">
      <c r="A174" s="4">
        <v>34090</v>
      </c>
      <c r="B174" s="1">
        <v>190</v>
      </c>
      <c r="C174" s="1">
        <v>14</v>
      </c>
      <c r="D174" s="1">
        <v>36</v>
      </c>
      <c r="E174" s="1">
        <v>111</v>
      </c>
      <c r="F174" s="1">
        <v>30</v>
      </c>
      <c r="G174" s="1">
        <v>28500</v>
      </c>
    </row>
    <row r="175" spans="1:17" ht="18" customHeight="1" x14ac:dyDescent="0.2">
      <c r="A175" s="4">
        <v>34121</v>
      </c>
      <c r="B175" s="1">
        <v>211</v>
      </c>
      <c r="C175" s="1">
        <v>13</v>
      </c>
      <c r="D175" s="1">
        <v>44</v>
      </c>
      <c r="E175" s="1">
        <v>124</v>
      </c>
      <c r="F175" s="1">
        <v>29</v>
      </c>
      <c r="G175" s="1">
        <v>28100</v>
      </c>
    </row>
    <row r="176" spans="1:17" ht="18" customHeight="1" x14ac:dyDescent="0.2">
      <c r="A176" s="4">
        <v>34151</v>
      </c>
      <c r="B176" s="1">
        <v>199</v>
      </c>
      <c r="C176" s="1">
        <v>17</v>
      </c>
      <c r="D176" s="1">
        <v>38</v>
      </c>
      <c r="E176" s="1">
        <v>117</v>
      </c>
      <c r="F176" s="1">
        <v>25</v>
      </c>
      <c r="G176" s="1">
        <v>29600</v>
      </c>
    </row>
    <row r="177" spans="1:17" ht="18" customHeight="1" x14ac:dyDescent="0.2">
      <c r="A177" s="4">
        <v>34182</v>
      </c>
      <c r="B177" s="1">
        <v>211</v>
      </c>
      <c r="C177" s="1">
        <v>13</v>
      </c>
      <c r="D177" s="1">
        <v>40</v>
      </c>
      <c r="E177" s="1">
        <v>123</v>
      </c>
      <c r="F177" s="1">
        <v>34</v>
      </c>
      <c r="G177" s="1">
        <v>28300</v>
      </c>
      <c r="N177" s="3"/>
      <c r="O177" s="3"/>
      <c r="P177" s="3"/>
      <c r="Q177" s="3"/>
    </row>
    <row r="178" spans="1:17" x14ac:dyDescent="0.2">
      <c r="A178" s="4">
        <v>34213</v>
      </c>
      <c r="B178" s="1">
        <v>201</v>
      </c>
      <c r="C178" s="1">
        <v>14</v>
      </c>
      <c r="D178" s="1">
        <v>40</v>
      </c>
      <c r="E178" s="1">
        <v>118</v>
      </c>
      <c r="F178" s="1">
        <v>28</v>
      </c>
      <c r="G178" s="1">
        <v>29700</v>
      </c>
    </row>
    <row r="179" spans="1:17" x14ac:dyDescent="0.2">
      <c r="A179" s="4">
        <v>34243</v>
      </c>
      <c r="B179" s="1">
        <v>228</v>
      </c>
      <c r="C179" s="1">
        <v>19</v>
      </c>
      <c r="D179" s="1">
        <v>42</v>
      </c>
      <c r="E179" s="1">
        <v>136</v>
      </c>
      <c r="F179" s="1">
        <v>30</v>
      </c>
      <c r="G179" s="1">
        <v>29300</v>
      </c>
    </row>
    <row r="180" spans="1:17" x14ac:dyDescent="0.2">
      <c r="A180" s="4">
        <v>34274</v>
      </c>
      <c r="B180" s="1">
        <v>222</v>
      </c>
      <c r="C180" s="1">
        <v>14</v>
      </c>
      <c r="D180" s="1">
        <v>43</v>
      </c>
      <c r="E180" s="1">
        <v>133</v>
      </c>
      <c r="F180" s="1">
        <v>32</v>
      </c>
      <c r="G180" s="1">
        <v>29900</v>
      </c>
    </row>
    <row r="181" spans="1:17" x14ac:dyDescent="0.2">
      <c r="A181" s="4">
        <v>34304</v>
      </c>
      <c r="B181" s="1">
        <v>243</v>
      </c>
      <c r="C181" s="1">
        <v>19</v>
      </c>
      <c r="D181" s="1">
        <v>51</v>
      </c>
      <c r="E181" s="1">
        <v>140</v>
      </c>
      <c r="F181" s="1">
        <v>33</v>
      </c>
      <c r="G181" s="1">
        <v>30100</v>
      </c>
      <c r="N181" s="3"/>
      <c r="O181" s="3"/>
      <c r="P181" s="3"/>
      <c r="Q181" s="3"/>
    </row>
    <row r="182" spans="1:17" ht="18" customHeight="1" x14ac:dyDescent="0.2">
      <c r="A182" s="4">
        <v>34335</v>
      </c>
      <c r="B182" s="1">
        <v>215</v>
      </c>
      <c r="C182" s="1">
        <v>13</v>
      </c>
      <c r="D182" s="1">
        <v>33</v>
      </c>
      <c r="E182" s="1">
        <v>136</v>
      </c>
      <c r="F182" s="1">
        <v>33</v>
      </c>
      <c r="G182" s="1">
        <v>28600</v>
      </c>
    </row>
    <row r="183" spans="1:17" x14ac:dyDescent="0.2">
      <c r="A183" s="4">
        <v>34366</v>
      </c>
      <c r="B183" s="1">
        <v>210</v>
      </c>
      <c r="C183" s="1">
        <v>14</v>
      </c>
      <c r="D183" s="1">
        <v>30</v>
      </c>
      <c r="E183" s="1">
        <v>133</v>
      </c>
      <c r="F183" s="1">
        <v>34</v>
      </c>
      <c r="G183" s="1">
        <v>28300</v>
      </c>
    </row>
    <row r="184" spans="1:17" ht="18" customHeight="1" x14ac:dyDescent="0.2">
      <c r="A184" s="4">
        <v>34394</v>
      </c>
      <c r="B184" s="1">
        <v>233</v>
      </c>
      <c r="C184" s="1">
        <v>13</v>
      </c>
      <c r="D184" s="1">
        <v>42</v>
      </c>
      <c r="E184" s="1">
        <v>142</v>
      </c>
      <c r="F184" s="1">
        <v>36</v>
      </c>
      <c r="G184" s="1">
        <v>29100</v>
      </c>
    </row>
    <row r="185" spans="1:17" ht="18" customHeight="1" x14ac:dyDescent="0.2">
      <c r="A185" s="4">
        <v>34425</v>
      </c>
      <c r="B185" s="1">
        <v>242</v>
      </c>
      <c r="C185" s="1">
        <v>19</v>
      </c>
      <c r="D185" s="1">
        <v>40</v>
      </c>
      <c r="E185" s="1">
        <v>148</v>
      </c>
      <c r="F185" s="1">
        <v>34</v>
      </c>
      <c r="G185" s="1">
        <v>28900</v>
      </c>
      <c r="N185" s="3"/>
      <c r="O185" s="3"/>
      <c r="P185" s="3"/>
      <c r="Q185" s="3"/>
    </row>
    <row r="186" spans="1:17" ht="18" customHeight="1" x14ac:dyDescent="0.2">
      <c r="A186" s="4">
        <v>34455</v>
      </c>
      <c r="B186" s="1">
        <v>242</v>
      </c>
      <c r="C186" s="1">
        <v>16</v>
      </c>
      <c r="D186" s="1">
        <v>48</v>
      </c>
      <c r="E186" s="1">
        <v>141</v>
      </c>
      <c r="F186" s="1">
        <v>37</v>
      </c>
      <c r="G186" s="1">
        <v>30100</v>
      </c>
    </row>
    <row r="187" spans="1:17" ht="18" customHeight="1" x14ac:dyDescent="0.2">
      <c r="A187" s="4">
        <v>34486</v>
      </c>
      <c r="B187" s="1">
        <v>237</v>
      </c>
      <c r="C187" s="1">
        <v>18</v>
      </c>
      <c r="D187" s="1">
        <v>42</v>
      </c>
      <c r="E187" s="1">
        <v>142</v>
      </c>
      <c r="F187" s="1">
        <v>36</v>
      </c>
      <c r="G187" s="1">
        <v>30400</v>
      </c>
    </row>
    <row r="188" spans="1:17" ht="18" customHeight="1" x14ac:dyDescent="0.2">
      <c r="A188" s="4">
        <v>34516</v>
      </c>
      <c r="B188" s="1">
        <v>267</v>
      </c>
      <c r="C188" s="1">
        <v>14</v>
      </c>
      <c r="D188" s="1">
        <v>48</v>
      </c>
      <c r="E188" s="1">
        <v>162</v>
      </c>
      <c r="F188" s="1">
        <v>43</v>
      </c>
      <c r="G188" s="1">
        <v>29600</v>
      </c>
    </row>
    <row r="189" spans="1:17" ht="18" customHeight="1" x14ac:dyDescent="0.2">
      <c r="A189" s="4">
        <v>34547</v>
      </c>
      <c r="B189" s="1">
        <v>244</v>
      </c>
      <c r="C189" s="1">
        <v>14</v>
      </c>
      <c r="D189" s="1">
        <v>47</v>
      </c>
      <c r="E189" s="1">
        <v>148</v>
      </c>
      <c r="F189" s="1">
        <v>35</v>
      </c>
      <c r="G189" s="1">
        <v>31700</v>
      </c>
      <c r="N189" s="3"/>
      <c r="O189" s="3"/>
      <c r="P189" s="3"/>
      <c r="Q189" s="3"/>
    </row>
    <row r="190" spans="1:17" ht="18" customHeight="1" x14ac:dyDescent="0.2">
      <c r="A190" s="4">
        <v>34578</v>
      </c>
      <c r="B190" s="1">
        <v>252</v>
      </c>
      <c r="C190" s="1">
        <v>12</v>
      </c>
      <c r="D190" s="1">
        <v>49</v>
      </c>
      <c r="E190" s="1">
        <v>154</v>
      </c>
      <c r="F190" s="1">
        <v>37</v>
      </c>
      <c r="G190" s="1">
        <v>31300</v>
      </c>
    </row>
    <row r="191" spans="1:17" ht="18" customHeight="1" x14ac:dyDescent="0.2">
      <c r="A191" s="4">
        <v>34608</v>
      </c>
      <c r="B191" s="1">
        <v>230</v>
      </c>
      <c r="C191" s="1">
        <v>15</v>
      </c>
      <c r="D191" s="1">
        <v>41</v>
      </c>
      <c r="E191" s="1">
        <v>147</v>
      </c>
      <c r="F191" s="1">
        <v>27</v>
      </c>
      <c r="G191" s="1">
        <v>31900</v>
      </c>
    </row>
    <row r="192" spans="1:17" ht="18" customHeight="1" x14ac:dyDescent="0.2">
      <c r="A192" s="4">
        <v>34639</v>
      </c>
      <c r="B192" s="1">
        <v>253</v>
      </c>
      <c r="C192" s="1">
        <v>15</v>
      </c>
      <c r="D192" s="1">
        <v>46</v>
      </c>
      <c r="E192" s="1">
        <v>149</v>
      </c>
      <c r="F192" s="1">
        <v>42</v>
      </c>
      <c r="G192" s="1">
        <v>32600</v>
      </c>
    </row>
    <row r="193" spans="1:17" ht="18" customHeight="1" x14ac:dyDescent="0.2">
      <c r="A193" s="4">
        <v>34669</v>
      </c>
      <c r="B193" s="1">
        <v>264</v>
      </c>
      <c r="C193" s="1">
        <v>20</v>
      </c>
      <c r="D193" s="1">
        <v>54</v>
      </c>
      <c r="E193" s="1">
        <v>154</v>
      </c>
      <c r="F193" s="1">
        <v>36</v>
      </c>
      <c r="G193" s="1">
        <v>32400</v>
      </c>
      <c r="N193" s="3"/>
      <c r="O193" s="3"/>
      <c r="P193" s="3"/>
      <c r="Q193" s="3"/>
    </row>
    <row r="194" spans="1:17" ht="18" customHeight="1" x14ac:dyDescent="0.2">
      <c r="A194" s="4">
        <v>34700</v>
      </c>
      <c r="B194" s="1">
        <v>237</v>
      </c>
      <c r="C194" s="1">
        <v>13</v>
      </c>
      <c r="D194" s="1">
        <v>51</v>
      </c>
      <c r="E194" s="1">
        <v>138</v>
      </c>
      <c r="F194" s="1">
        <v>35</v>
      </c>
      <c r="G194" s="1">
        <v>32600</v>
      </c>
    </row>
    <row r="195" spans="1:17" ht="18" customHeight="1" x14ac:dyDescent="0.2">
      <c r="A195" s="4">
        <v>34731</v>
      </c>
      <c r="B195" s="1">
        <v>262</v>
      </c>
      <c r="C195" s="1">
        <v>12</v>
      </c>
      <c r="D195" s="1">
        <v>51</v>
      </c>
      <c r="E195" s="1">
        <v>163</v>
      </c>
      <c r="F195" s="1">
        <v>37</v>
      </c>
      <c r="G195" s="1">
        <v>31100</v>
      </c>
    </row>
    <row r="196" spans="1:17" ht="13.35" customHeight="1" x14ac:dyDescent="0.2">
      <c r="A196" s="4">
        <v>34759</v>
      </c>
      <c r="B196" s="1">
        <v>265</v>
      </c>
      <c r="C196" s="1">
        <v>11</v>
      </c>
      <c r="D196" s="1">
        <v>54</v>
      </c>
      <c r="E196" s="1">
        <v>160</v>
      </c>
      <c r="F196" s="1">
        <v>40</v>
      </c>
      <c r="G196" s="1">
        <v>31900</v>
      </c>
    </row>
    <row r="197" spans="1:17" ht="13.35" customHeight="1" x14ac:dyDescent="0.2">
      <c r="A197" s="4">
        <v>34790</v>
      </c>
      <c r="B197" s="1">
        <v>297</v>
      </c>
      <c r="C197" s="1">
        <v>16</v>
      </c>
      <c r="D197" s="1">
        <v>54</v>
      </c>
      <c r="E197" s="1">
        <v>183</v>
      </c>
      <c r="F197" s="1">
        <v>42</v>
      </c>
      <c r="G197" s="1">
        <v>31800</v>
      </c>
      <c r="N197" s="3"/>
      <c r="O197" s="3"/>
      <c r="P197" s="3"/>
      <c r="Q197" s="3"/>
    </row>
    <row r="198" spans="1:17" ht="13.35" customHeight="1" x14ac:dyDescent="0.2">
      <c r="A198" s="4">
        <v>34820</v>
      </c>
      <c r="B198" s="1">
        <v>300</v>
      </c>
      <c r="C198" s="1">
        <v>18</v>
      </c>
      <c r="D198" s="1">
        <v>54</v>
      </c>
      <c r="E198" s="1">
        <v>182</v>
      </c>
      <c r="F198" s="1">
        <v>46</v>
      </c>
      <c r="G198" s="1">
        <v>31700</v>
      </c>
    </row>
    <row r="199" spans="1:17" ht="13.35" customHeight="1" x14ac:dyDescent="0.2">
      <c r="A199" s="4">
        <v>34851</v>
      </c>
      <c r="B199" s="1">
        <v>293</v>
      </c>
      <c r="C199" s="1">
        <v>14</v>
      </c>
      <c r="D199" s="1">
        <v>54</v>
      </c>
      <c r="E199" s="1">
        <v>179</v>
      </c>
      <c r="F199" s="1">
        <v>46</v>
      </c>
      <c r="G199" s="1">
        <v>33300</v>
      </c>
    </row>
    <row r="200" spans="1:17" ht="18" customHeight="1" x14ac:dyDescent="0.2">
      <c r="A200" s="4">
        <v>34881</v>
      </c>
      <c r="B200" s="1">
        <v>302</v>
      </c>
      <c r="C200" s="1">
        <v>19</v>
      </c>
      <c r="D200" s="1">
        <v>54</v>
      </c>
      <c r="E200" s="1">
        <v>183</v>
      </c>
      <c r="F200" s="1">
        <v>45</v>
      </c>
      <c r="G200" s="1">
        <v>32100</v>
      </c>
    </row>
    <row r="201" spans="1:17" ht="13.35" customHeight="1" x14ac:dyDescent="0.2">
      <c r="A201" s="4">
        <v>34912</v>
      </c>
      <c r="B201" s="1">
        <v>292</v>
      </c>
      <c r="C201" s="1">
        <v>18</v>
      </c>
      <c r="D201" s="1">
        <v>53</v>
      </c>
      <c r="E201" s="1">
        <v>177</v>
      </c>
      <c r="F201" s="1">
        <v>44</v>
      </c>
      <c r="G201" s="1">
        <v>32700</v>
      </c>
      <c r="N201" s="3"/>
      <c r="O201" s="3"/>
      <c r="P201" s="3"/>
      <c r="Q201" s="3"/>
    </row>
    <row r="202" spans="1:17" ht="18" customHeight="1" x14ac:dyDescent="0.2">
      <c r="A202" s="4">
        <v>34943</v>
      </c>
      <c r="B202" s="1">
        <v>283</v>
      </c>
      <c r="C202" s="1">
        <v>16</v>
      </c>
      <c r="D202" s="1">
        <v>44</v>
      </c>
      <c r="E202" s="1">
        <v>180</v>
      </c>
      <c r="F202" s="1">
        <v>43</v>
      </c>
      <c r="G202" s="1">
        <v>33800</v>
      </c>
    </row>
    <row r="203" spans="1:17" ht="18" customHeight="1" x14ac:dyDescent="0.2">
      <c r="A203" s="4">
        <v>34973</v>
      </c>
      <c r="B203" s="1">
        <v>303</v>
      </c>
      <c r="C203" s="1">
        <v>19</v>
      </c>
      <c r="D203" s="1">
        <v>53</v>
      </c>
      <c r="E203" s="1">
        <v>186</v>
      </c>
      <c r="F203" s="1">
        <v>44</v>
      </c>
      <c r="G203" s="1">
        <v>34100</v>
      </c>
    </row>
    <row r="204" spans="1:17" ht="18" customHeight="1" x14ac:dyDescent="0.2">
      <c r="A204" s="4">
        <v>35004</v>
      </c>
      <c r="B204" s="1">
        <v>319</v>
      </c>
      <c r="C204" s="1">
        <v>17</v>
      </c>
      <c r="D204" s="1">
        <v>58</v>
      </c>
      <c r="E204" s="1">
        <v>198</v>
      </c>
      <c r="F204" s="1">
        <v>46</v>
      </c>
      <c r="G204" s="1">
        <v>33400</v>
      </c>
    </row>
    <row r="205" spans="1:17" ht="18" customHeight="1" x14ac:dyDescent="0.2">
      <c r="A205" s="4">
        <v>35034</v>
      </c>
      <c r="B205" s="1">
        <v>321</v>
      </c>
      <c r="C205" s="1">
        <v>15</v>
      </c>
      <c r="D205" s="1">
        <v>58</v>
      </c>
      <c r="E205" s="1">
        <v>197</v>
      </c>
      <c r="F205" s="1">
        <v>52</v>
      </c>
      <c r="G205" s="1">
        <v>34600</v>
      </c>
      <c r="N205" s="3"/>
      <c r="O205" s="3"/>
      <c r="P205" s="3"/>
      <c r="Q205" s="3"/>
    </row>
    <row r="206" spans="1:17" ht="18" customHeight="1" x14ac:dyDescent="0.2">
      <c r="A206" s="4">
        <v>35065</v>
      </c>
      <c r="B206" s="1">
        <v>344</v>
      </c>
      <c r="C206" s="1">
        <v>19</v>
      </c>
      <c r="D206" s="1">
        <v>60</v>
      </c>
      <c r="E206" s="1">
        <v>227</v>
      </c>
      <c r="F206" s="1">
        <v>38</v>
      </c>
      <c r="G206" s="1">
        <v>34500</v>
      </c>
    </row>
    <row r="207" spans="1:17" ht="18" customHeight="1" x14ac:dyDescent="0.2">
      <c r="A207" s="4">
        <v>35096</v>
      </c>
      <c r="B207" s="1">
        <v>300</v>
      </c>
      <c r="C207" s="1">
        <v>16</v>
      </c>
      <c r="D207" s="1">
        <v>60</v>
      </c>
      <c r="E207" s="1">
        <v>181</v>
      </c>
      <c r="F207" s="1">
        <v>43</v>
      </c>
      <c r="G207" s="1">
        <v>33800</v>
      </c>
    </row>
    <row r="208" spans="1:17" ht="18" customHeight="1" x14ac:dyDescent="0.2">
      <c r="A208" s="4">
        <v>35125</v>
      </c>
      <c r="B208" s="1">
        <v>304</v>
      </c>
      <c r="C208" s="1">
        <v>15</v>
      </c>
      <c r="D208" s="1">
        <v>59</v>
      </c>
      <c r="E208" s="1">
        <v>190</v>
      </c>
      <c r="F208" s="1">
        <v>40</v>
      </c>
      <c r="G208" s="1">
        <v>33800</v>
      </c>
    </row>
    <row r="209" spans="1:17" ht="18" customHeight="1" x14ac:dyDescent="0.2">
      <c r="A209" s="4">
        <v>35156</v>
      </c>
      <c r="B209" s="1">
        <v>306</v>
      </c>
      <c r="C209" s="1">
        <v>12</v>
      </c>
      <c r="D209" s="1">
        <v>53</v>
      </c>
      <c r="E209" s="1">
        <v>198</v>
      </c>
      <c r="F209" s="1">
        <v>43</v>
      </c>
      <c r="G209" s="1">
        <v>33600</v>
      </c>
      <c r="N209" s="3"/>
      <c r="O209" s="3"/>
      <c r="P209" s="3"/>
      <c r="Q209" s="3"/>
    </row>
    <row r="210" spans="1:17" ht="18" customHeight="1" x14ac:dyDescent="0.2">
      <c r="A210" s="4">
        <v>35186</v>
      </c>
      <c r="B210" s="1">
        <v>317</v>
      </c>
      <c r="C210" s="1">
        <v>14</v>
      </c>
      <c r="D210" s="1">
        <v>52</v>
      </c>
      <c r="E210" s="1">
        <v>207</v>
      </c>
      <c r="F210" s="1">
        <v>44</v>
      </c>
      <c r="G210" s="1">
        <v>34700</v>
      </c>
    </row>
    <row r="211" spans="1:17" ht="18" customHeight="1" x14ac:dyDescent="0.2">
      <c r="A211" s="4">
        <v>35217</v>
      </c>
      <c r="B211" s="1">
        <v>334</v>
      </c>
      <c r="C211" s="1">
        <v>16</v>
      </c>
      <c r="D211" s="1">
        <v>61</v>
      </c>
      <c r="E211" s="1">
        <v>217</v>
      </c>
      <c r="F211" s="1">
        <v>40</v>
      </c>
      <c r="G211" s="1">
        <v>35300</v>
      </c>
    </row>
    <row r="212" spans="1:17" ht="18" customHeight="1" x14ac:dyDescent="0.2">
      <c r="A212" s="4">
        <v>35247</v>
      </c>
      <c r="B212" s="1">
        <v>307</v>
      </c>
      <c r="C212" s="1">
        <v>15</v>
      </c>
      <c r="D212" s="1">
        <v>54</v>
      </c>
      <c r="E212" s="1">
        <v>196</v>
      </c>
      <c r="F212" s="1">
        <v>43</v>
      </c>
      <c r="G212" s="1">
        <v>35600</v>
      </c>
    </row>
    <row r="213" spans="1:17" ht="18" customHeight="1" x14ac:dyDescent="0.2">
      <c r="A213" s="4">
        <v>35278</v>
      </c>
      <c r="B213" s="1">
        <v>330</v>
      </c>
      <c r="C213" s="1">
        <v>18</v>
      </c>
      <c r="D213" s="1">
        <v>56</v>
      </c>
      <c r="E213" s="1">
        <v>205</v>
      </c>
      <c r="F213" s="1">
        <v>51</v>
      </c>
      <c r="G213" s="1">
        <v>36700</v>
      </c>
      <c r="N213" s="3"/>
      <c r="O213" s="3"/>
      <c r="P213" s="3"/>
      <c r="Q213" s="3"/>
    </row>
    <row r="214" spans="1:17" ht="13.35" customHeight="1" x14ac:dyDescent="0.2">
      <c r="A214" s="4">
        <v>35309</v>
      </c>
      <c r="B214" s="1">
        <v>326</v>
      </c>
      <c r="C214" s="1">
        <v>17</v>
      </c>
      <c r="D214" s="1">
        <v>62</v>
      </c>
      <c r="E214" s="1">
        <v>200</v>
      </c>
      <c r="F214" s="1">
        <v>46</v>
      </c>
      <c r="G214" s="1">
        <v>35200</v>
      </c>
    </row>
    <row r="215" spans="1:17" ht="13.35" customHeight="1" x14ac:dyDescent="0.2">
      <c r="A215" s="4">
        <v>35339</v>
      </c>
      <c r="B215" s="1">
        <v>340</v>
      </c>
      <c r="C215" s="1">
        <v>12</v>
      </c>
      <c r="D215" s="1">
        <v>55</v>
      </c>
      <c r="E215" s="1">
        <v>227</v>
      </c>
      <c r="F215" s="1">
        <v>45</v>
      </c>
      <c r="G215" s="1">
        <v>36400</v>
      </c>
    </row>
    <row r="216" spans="1:17" ht="13.35" customHeight="1" x14ac:dyDescent="0.2">
      <c r="A216" s="4">
        <v>35370</v>
      </c>
      <c r="B216" s="1">
        <v>315</v>
      </c>
      <c r="C216" s="1">
        <v>16</v>
      </c>
      <c r="D216" s="1">
        <v>60</v>
      </c>
      <c r="E216" s="1">
        <v>193</v>
      </c>
      <c r="F216" s="1">
        <v>46</v>
      </c>
      <c r="G216" s="1">
        <v>36000</v>
      </c>
    </row>
    <row r="217" spans="1:17" ht="13.35" customHeight="1" x14ac:dyDescent="0.2">
      <c r="A217" s="4">
        <v>35400</v>
      </c>
      <c r="B217" s="1">
        <v>311</v>
      </c>
      <c r="C217" s="1">
        <v>9</v>
      </c>
      <c r="D217" s="1">
        <v>59</v>
      </c>
      <c r="E217" s="1">
        <v>198</v>
      </c>
      <c r="F217" s="1">
        <v>45</v>
      </c>
      <c r="G217" s="1">
        <v>37600</v>
      </c>
      <c r="N217" s="3"/>
      <c r="O217" s="3"/>
      <c r="P217" s="3"/>
      <c r="Q217" s="3"/>
    </row>
    <row r="218" spans="1:17" ht="18" customHeight="1" x14ac:dyDescent="0.2">
      <c r="A218" s="4">
        <v>35431</v>
      </c>
      <c r="B218" s="1">
        <v>300</v>
      </c>
      <c r="C218" s="1">
        <v>15</v>
      </c>
      <c r="D218" s="1">
        <v>47</v>
      </c>
      <c r="E218" s="1">
        <v>203</v>
      </c>
      <c r="F218" s="1">
        <v>35</v>
      </c>
      <c r="G218" s="1">
        <v>36800</v>
      </c>
    </row>
    <row r="219" spans="1:17" ht="13.35" customHeight="1" x14ac:dyDescent="0.2">
      <c r="A219" s="4">
        <v>35462</v>
      </c>
      <c r="B219" s="1">
        <v>369</v>
      </c>
      <c r="C219" s="1">
        <v>18</v>
      </c>
      <c r="D219" s="1">
        <v>74</v>
      </c>
      <c r="E219" s="1">
        <v>230</v>
      </c>
      <c r="F219" s="1">
        <v>48</v>
      </c>
      <c r="G219" s="1">
        <v>36100</v>
      </c>
    </row>
    <row r="220" spans="1:17" ht="18" customHeight="1" x14ac:dyDescent="0.2">
      <c r="A220" s="4">
        <v>35490</v>
      </c>
      <c r="B220" s="1">
        <v>325</v>
      </c>
      <c r="C220" s="1">
        <v>16</v>
      </c>
      <c r="D220" s="1">
        <v>58</v>
      </c>
      <c r="E220" s="1">
        <v>207</v>
      </c>
      <c r="F220" s="1">
        <v>43</v>
      </c>
      <c r="G220" s="1">
        <v>35600</v>
      </c>
    </row>
    <row r="221" spans="1:17" ht="18" customHeight="1" x14ac:dyDescent="0.2">
      <c r="A221" s="4">
        <v>35521</v>
      </c>
      <c r="B221" s="1">
        <v>285</v>
      </c>
      <c r="C221" s="1">
        <v>12</v>
      </c>
      <c r="D221" s="1">
        <v>47</v>
      </c>
      <c r="E221" s="1">
        <v>187</v>
      </c>
      <c r="F221" s="1">
        <v>38</v>
      </c>
      <c r="G221" s="1">
        <v>36100</v>
      </c>
      <c r="N221" s="3"/>
      <c r="O221" s="3"/>
      <c r="P221" s="3"/>
      <c r="Q221" s="3"/>
    </row>
    <row r="222" spans="1:17" ht="18" customHeight="1" x14ac:dyDescent="0.2">
      <c r="A222" s="4">
        <v>35551</v>
      </c>
      <c r="B222" s="1">
        <v>337</v>
      </c>
      <c r="C222" s="1">
        <v>18</v>
      </c>
      <c r="D222" s="1">
        <v>65</v>
      </c>
      <c r="E222" s="1">
        <v>209</v>
      </c>
      <c r="F222" s="1">
        <v>45</v>
      </c>
      <c r="G222" s="1">
        <v>37300</v>
      </c>
    </row>
    <row r="223" spans="1:17" ht="18" customHeight="1" x14ac:dyDescent="0.2">
      <c r="A223" s="4">
        <v>35582</v>
      </c>
      <c r="B223" s="1">
        <v>341</v>
      </c>
      <c r="C223" s="1">
        <v>17</v>
      </c>
      <c r="D223" s="1">
        <v>63</v>
      </c>
      <c r="E223" s="1">
        <v>212</v>
      </c>
      <c r="F223" s="1">
        <v>50</v>
      </c>
      <c r="G223" s="1">
        <v>37900</v>
      </c>
    </row>
    <row r="224" spans="1:17" ht="18" customHeight="1" x14ac:dyDescent="0.2">
      <c r="A224" s="4">
        <v>35612</v>
      </c>
      <c r="B224" s="1">
        <v>322</v>
      </c>
      <c r="C224" s="1">
        <v>18</v>
      </c>
      <c r="D224" s="1">
        <v>56</v>
      </c>
      <c r="E224" s="1">
        <v>202</v>
      </c>
      <c r="F224" s="1">
        <v>46</v>
      </c>
      <c r="G224" s="1">
        <v>38100</v>
      </c>
    </row>
    <row r="225" spans="1:17" ht="18" customHeight="1" x14ac:dyDescent="0.2">
      <c r="A225" s="4">
        <v>35643</v>
      </c>
      <c r="B225" s="1">
        <v>357</v>
      </c>
      <c r="C225" s="1">
        <v>18</v>
      </c>
      <c r="D225" s="1">
        <v>64</v>
      </c>
      <c r="E225" s="1">
        <v>224</v>
      </c>
      <c r="F225" s="1">
        <v>50</v>
      </c>
      <c r="G225" s="1">
        <v>37000</v>
      </c>
      <c r="N225" s="3"/>
      <c r="O225" s="3"/>
      <c r="P225" s="3"/>
      <c r="Q225" s="3"/>
    </row>
    <row r="226" spans="1:17" ht="18" customHeight="1" x14ac:dyDescent="0.2">
      <c r="A226" s="4">
        <v>35674</v>
      </c>
      <c r="B226" s="1">
        <v>321</v>
      </c>
      <c r="C226" s="1">
        <v>15</v>
      </c>
      <c r="D226" s="1">
        <v>57</v>
      </c>
      <c r="E226" s="1">
        <v>202</v>
      </c>
      <c r="F226" s="1">
        <v>47</v>
      </c>
      <c r="G226" s="1">
        <v>38000</v>
      </c>
    </row>
    <row r="227" spans="1:17" ht="18" customHeight="1" x14ac:dyDescent="0.2">
      <c r="A227" s="4">
        <v>35704</v>
      </c>
      <c r="B227" s="1">
        <v>429</v>
      </c>
      <c r="C227" s="1">
        <v>14</v>
      </c>
      <c r="D227" s="1">
        <v>62</v>
      </c>
      <c r="E227" s="1">
        <v>309</v>
      </c>
      <c r="F227" s="1">
        <v>44</v>
      </c>
      <c r="G227" s="1">
        <v>37400</v>
      </c>
    </row>
    <row r="228" spans="1:17" ht="18" customHeight="1" x14ac:dyDescent="0.2">
      <c r="A228" s="4">
        <v>35735</v>
      </c>
      <c r="B228" s="1">
        <v>335</v>
      </c>
      <c r="C228" s="1">
        <v>17</v>
      </c>
      <c r="D228" s="1">
        <v>50</v>
      </c>
      <c r="E228" s="1">
        <v>225</v>
      </c>
      <c r="F228" s="1">
        <v>42</v>
      </c>
      <c r="G228" s="1">
        <v>38000</v>
      </c>
    </row>
    <row r="229" spans="1:17" ht="18" customHeight="1" x14ac:dyDescent="0.2">
      <c r="A229" s="4">
        <v>35765</v>
      </c>
      <c r="B229" s="1">
        <v>326</v>
      </c>
      <c r="C229" s="1">
        <v>16</v>
      </c>
      <c r="D229" s="1">
        <v>59</v>
      </c>
      <c r="E229" s="1">
        <v>209</v>
      </c>
      <c r="F229" s="1">
        <v>43</v>
      </c>
      <c r="G229" s="1">
        <v>38000</v>
      </c>
      <c r="N229" s="3"/>
      <c r="O229" s="3"/>
      <c r="P229" s="3"/>
      <c r="Q229" s="3"/>
    </row>
    <row r="230" spans="1:17" ht="18" customHeight="1" x14ac:dyDescent="0.2">
      <c r="A230" s="4">
        <v>35796</v>
      </c>
      <c r="B230" s="1">
        <v>385</v>
      </c>
      <c r="C230" s="1">
        <v>13</v>
      </c>
      <c r="D230" s="1">
        <v>54</v>
      </c>
      <c r="E230" s="1">
        <v>270</v>
      </c>
      <c r="F230" s="1">
        <v>48</v>
      </c>
      <c r="G230" s="1">
        <v>38500</v>
      </c>
    </row>
    <row r="231" spans="1:17" ht="18" customHeight="1" x14ac:dyDescent="0.2">
      <c r="A231" s="4">
        <v>35827</v>
      </c>
      <c r="B231" s="1">
        <v>323</v>
      </c>
      <c r="C231" s="1">
        <v>12</v>
      </c>
      <c r="D231" s="1">
        <v>43</v>
      </c>
      <c r="E231" s="1">
        <v>219</v>
      </c>
      <c r="F231" s="1">
        <v>50</v>
      </c>
      <c r="G231" s="1">
        <v>39200</v>
      </c>
    </row>
    <row r="232" spans="1:17" ht="13.35" customHeight="1" x14ac:dyDescent="0.2">
      <c r="A232" s="4">
        <v>35855</v>
      </c>
      <c r="B232" s="1">
        <v>362</v>
      </c>
      <c r="C232" s="1">
        <v>12</v>
      </c>
      <c r="D232" s="1">
        <v>61</v>
      </c>
      <c r="E232" s="1">
        <v>239</v>
      </c>
      <c r="F232" s="1">
        <v>49</v>
      </c>
      <c r="G232" s="1">
        <v>38000</v>
      </c>
    </row>
    <row r="233" spans="1:17" ht="13.35" customHeight="1" x14ac:dyDescent="0.2">
      <c r="A233" s="4">
        <v>35886</v>
      </c>
      <c r="B233" s="1">
        <v>339</v>
      </c>
      <c r="C233" s="1">
        <v>14</v>
      </c>
      <c r="D233" s="1">
        <v>58</v>
      </c>
      <c r="E233" s="1">
        <v>218</v>
      </c>
      <c r="F233" s="1">
        <v>49</v>
      </c>
      <c r="G233" s="1">
        <v>38800</v>
      </c>
      <c r="N233" s="3"/>
      <c r="O233" s="3"/>
      <c r="P233" s="3"/>
      <c r="Q233" s="3"/>
    </row>
    <row r="234" spans="1:17" ht="13.35" customHeight="1" x14ac:dyDescent="0.2">
      <c r="A234" s="4">
        <v>35916</v>
      </c>
      <c r="B234" s="1">
        <v>314</v>
      </c>
      <c r="C234" s="1">
        <v>14</v>
      </c>
      <c r="D234" s="1">
        <v>52</v>
      </c>
      <c r="E234" s="1">
        <v>203</v>
      </c>
      <c r="F234" s="1">
        <v>45</v>
      </c>
      <c r="G234" s="1">
        <v>39100</v>
      </c>
    </row>
    <row r="235" spans="1:17" ht="13.35" customHeight="1" x14ac:dyDescent="0.2">
      <c r="A235" s="4">
        <v>35947</v>
      </c>
      <c r="B235" s="1">
        <v>311</v>
      </c>
      <c r="C235" s="1">
        <v>13</v>
      </c>
      <c r="D235" s="1">
        <v>56</v>
      </c>
      <c r="E235" s="1">
        <v>199</v>
      </c>
      <c r="F235" s="1">
        <v>44</v>
      </c>
      <c r="G235" s="1">
        <v>40100</v>
      </c>
    </row>
    <row r="236" spans="1:17" ht="18" customHeight="1" x14ac:dyDescent="0.2">
      <c r="A236" s="4">
        <v>35977</v>
      </c>
      <c r="B236" s="1">
        <v>350</v>
      </c>
      <c r="C236" s="1">
        <v>20</v>
      </c>
      <c r="D236" s="1">
        <v>59</v>
      </c>
      <c r="E236" s="1">
        <v>226</v>
      </c>
      <c r="F236" s="1">
        <v>45</v>
      </c>
      <c r="G236" s="1">
        <v>40300</v>
      </c>
    </row>
    <row r="237" spans="1:17" ht="13.35" customHeight="1" x14ac:dyDescent="0.2">
      <c r="A237" s="4">
        <v>36008</v>
      </c>
      <c r="B237" s="1">
        <v>313</v>
      </c>
      <c r="C237" s="1">
        <v>13</v>
      </c>
      <c r="D237" s="1">
        <v>52</v>
      </c>
      <c r="E237" s="1">
        <v>202</v>
      </c>
      <c r="F237" s="1">
        <v>46</v>
      </c>
      <c r="G237" s="1">
        <v>39900</v>
      </c>
      <c r="N237" s="3"/>
      <c r="O237" s="3"/>
      <c r="P237" s="3"/>
      <c r="Q237" s="3"/>
    </row>
    <row r="238" spans="1:17" ht="18" customHeight="1" x14ac:dyDescent="0.2">
      <c r="A238" s="4">
        <v>36039</v>
      </c>
      <c r="B238" s="1">
        <v>345</v>
      </c>
      <c r="C238" s="1">
        <v>20</v>
      </c>
      <c r="D238" s="1">
        <v>53</v>
      </c>
      <c r="E238" s="1">
        <v>226</v>
      </c>
      <c r="F238" s="1">
        <v>46</v>
      </c>
      <c r="G238" s="1">
        <v>41100</v>
      </c>
    </row>
    <row r="239" spans="1:17" ht="18" customHeight="1" x14ac:dyDescent="0.2">
      <c r="A239" s="4">
        <v>36069</v>
      </c>
      <c r="B239" s="1">
        <v>334</v>
      </c>
      <c r="C239" s="1">
        <v>14</v>
      </c>
      <c r="D239" s="1">
        <v>57</v>
      </c>
      <c r="E239" s="1">
        <v>213</v>
      </c>
      <c r="F239" s="1">
        <v>51</v>
      </c>
      <c r="G239" s="1">
        <v>40900</v>
      </c>
    </row>
    <row r="240" spans="1:17" ht="18" customHeight="1" x14ac:dyDescent="0.2">
      <c r="A240" s="4">
        <v>36100</v>
      </c>
      <c r="B240" s="1">
        <v>329</v>
      </c>
      <c r="C240" s="1">
        <v>11</v>
      </c>
      <c r="D240" s="1">
        <v>63</v>
      </c>
      <c r="E240" s="1">
        <v>209</v>
      </c>
      <c r="F240" s="1">
        <v>46</v>
      </c>
      <c r="G240" s="1">
        <v>40600</v>
      </c>
    </row>
    <row r="241" spans="1:17" ht="18" customHeight="1" x14ac:dyDescent="0.2">
      <c r="A241" s="4">
        <v>36130</v>
      </c>
      <c r="B241" s="1">
        <v>339</v>
      </c>
      <c r="C241" s="1">
        <v>13</v>
      </c>
      <c r="D241" s="1">
        <v>53</v>
      </c>
      <c r="E241" s="1">
        <v>223</v>
      </c>
      <c r="F241" s="1">
        <v>49</v>
      </c>
      <c r="G241" s="1">
        <v>40700</v>
      </c>
      <c r="N241" s="3"/>
      <c r="O241" s="3"/>
      <c r="P241" s="3"/>
      <c r="Q241" s="3"/>
    </row>
    <row r="242" spans="1:17" ht="18" customHeight="1" x14ac:dyDescent="0.2">
      <c r="A242" s="4">
        <v>36161</v>
      </c>
      <c r="B242" s="1">
        <v>357</v>
      </c>
      <c r="C242" s="1">
        <v>17</v>
      </c>
      <c r="D242" s="1">
        <v>62</v>
      </c>
      <c r="E242" s="1">
        <v>227</v>
      </c>
      <c r="F242" s="1">
        <v>51</v>
      </c>
      <c r="G242" s="1">
        <v>40500</v>
      </c>
    </row>
    <row r="243" spans="1:17" ht="18" customHeight="1" x14ac:dyDescent="0.2">
      <c r="A243" s="4">
        <v>36192</v>
      </c>
      <c r="B243" s="1">
        <v>348</v>
      </c>
      <c r="C243" s="1">
        <v>10</v>
      </c>
      <c r="D243" s="1">
        <v>62</v>
      </c>
      <c r="E243" s="1">
        <v>230</v>
      </c>
      <c r="F243" s="1">
        <v>46</v>
      </c>
      <c r="G243" s="1">
        <v>39700</v>
      </c>
    </row>
    <row r="244" spans="1:17" ht="18" customHeight="1" x14ac:dyDescent="0.2">
      <c r="A244" s="4">
        <v>36220</v>
      </c>
      <c r="B244" s="1">
        <v>351</v>
      </c>
      <c r="C244" s="1">
        <v>13</v>
      </c>
      <c r="D244" s="1">
        <v>54</v>
      </c>
      <c r="E244" s="1">
        <v>232</v>
      </c>
      <c r="F244" s="1">
        <v>51</v>
      </c>
      <c r="G244" s="1">
        <v>40100</v>
      </c>
    </row>
    <row r="245" spans="1:17" ht="18" customHeight="1" x14ac:dyDescent="0.2">
      <c r="A245" s="4">
        <v>36251</v>
      </c>
      <c r="B245" s="1">
        <v>376</v>
      </c>
      <c r="C245" s="1">
        <v>15</v>
      </c>
      <c r="D245" s="1">
        <v>58</v>
      </c>
      <c r="E245" s="1">
        <v>252</v>
      </c>
      <c r="F245" s="1">
        <v>50</v>
      </c>
      <c r="G245" s="1">
        <v>41300</v>
      </c>
      <c r="N245" s="3"/>
      <c r="O245" s="3"/>
      <c r="P245" s="3"/>
      <c r="Q245" s="3"/>
    </row>
    <row r="246" spans="1:17" ht="18" customHeight="1" x14ac:dyDescent="0.2">
      <c r="A246" s="4">
        <v>36281</v>
      </c>
      <c r="B246" s="1">
        <v>354</v>
      </c>
      <c r="C246" s="1">
        <v>13</v>
      </c>
      <c r="D246" s="1">
        <v>54</v>
      </c>
      <c r="E246" s="1">
        <v>237</v>
      </c>
      <c r="F246" s="1">
        <v>50</v>
      </c>
      <c r="G246" s="1">
        <v>41200</v>
      </c>
    </row>
    <row r="247" spans="1:17" ht="18" customHeight="1" x14ac:dyDescent="0.2">
      <c r="A247" s="4">
        <v>36312</v>
      </c>
      <c r="B247" s="1">
        <v>378</v>
      </c>
      <c r="C247" s="1">
        <v>16</v>
      </c>
      <c r="D247" s="1">
        <v>57</v>
      </c>
      <c r="E247" s="1">
        <v>257</v>
      </c>
      <c r="F247" s="1">
        <v>48</v>
      </c>
      <c r="G247" s="1">
        <v>41600</v>
      </c>
    </row>
    <row r="248" spans="1:17" ht="18" customHeight="1" x14ac:dyDescent="0.2">
      <c r="A248" s="4">
        <v>36342</v>
      </c>
      <c r="B248" s="1">
        <v>388</v>
      </c>
      <c r="C248" s="1">
        <v>16</v>
      </c>
      <c r="D248" s="1">
        <v>57</v>
      </c>
      <c r="E248" s="1">
        <v>262</v>
      </c>
      <c r="F248" s="1">
        <v>53</v>
      </c>
      <c r="G248" s="1">
        <v>42700</v>
      </c>
    </row>
    <row r="249" spans="1:17" ht="18" customHeight="1" x14ac:dyDescent="0.2">
      <c r="A249" s="4">
        <v>36373</v>
      </c>
      <c r="B249" s="1">
        <v>385</v>
      </c>
      <c r="C249" s="1">
        <v>13</v>
      </c>
      <c r="D249" s="1">
        <v>58</v>
      </c>
      <c r="E249" s="1">
        <v>266</v>
      </c>
      <c r="F249" s="1">
        <v>48</v>
      </c>
      <c r="G249" s="1">
        <v>41900</v>
      </c>
      <c r="N249" s="3"/>
      <c r="O249" s="3"/>
      <c r="P249" s="3"/>
      <c r="Q249" s="3"/>
    </row>
    <row r="250" spans="1:17" ht="13.35" customHeight="1" x14ac:dyDescent="0.2">
      <c r="A250" s="4">
        <v>36404</v>
      </c>
      <c r="B250" s="1">
        <v>395</v>
      </c>
      <c r="C250" s="1">
        <v>15</v>
      </c>
      <c r="D250" s="1">
        <v>60</v>
      </c>
      <c r="E250" s="1">
        <v>266</v>
      </c>
      <c r="F250" s="1">
        <v>53</v>
      </c>
      <c r="G250" s="1">
        <v>41600</v>
      </c>
    </row>
    <row r="251" spans="1:17" ht="13.35" customHeight="1" x14ac:dyDescent="0.2">
      <c r="A251" s="4">
        <v>36434</v>
      </c>
      <c r="B251" s="1">
        <v>361</v>
      </c>
      <c r="C251" s="1">
        <v>17</v>
      </c>
      <c r="D251" s="1">
        <v>58</v>
      </c>
      <c r="E251" s="1">
        <v>236</v>
      </c>
      <c r="F251" s="1">
        <v>50</v>
      </c>
      <c r="G251" s="1">
        <v>43400</v>
      </c>
    </row>
    <row r="252" spans="1:17" ht="13.35" customHeight="1" x14ac:dyDescent="0.2">
      <c r="A252" s="4">
        <v>36465</v>
      </c>
      <c r="B252" s="1">
        <v>385</v>
      </c>
      <c r="C252" s="1">
        <v>13</v>
      </c>
      <c r="D252" s="1">
        <v>58</v>
      </c>
      <c r="E252" s="1">
        <v>261</v>
      </c>
      <c r="F252" s="1">
        <v>53</v>
      </c>
      <c r="G252" s="1">
        <v>42200</v>
      </c>
    </row>
    <row r="253" spans="1:17" ht="13.35" customHeight="1" x14ac:dyDescent="0.2">
      <c r="A253" s="4">
        <v>36495</v>
      </c>
      <c r="B253" s="1">
        <v>410</v>
      </c>
      <c r="C253" s="1">
        <v>18</v>
      </c>
      <c r="D253" s="1">
        <v>64</v>
      </c>
      <c r="E253" s="1">
        <v>275</v>
      </c>
      <c r="F253" s="1">
        <v>52</v>
      </c>
      <c r="G253" s="1">
        <v>42400</v>
      </c>
      <c r="N253" s="3"/>
      <c r="O253" s="3"/>
      <c r="P253" s="3"/>
      <c r="Q253" s="3"/>
    </row>
    <row r="254" spans="1:17" ht="18" customHeight="1" x14ac:dyDescent="0.2">
      <c r="A254" s="4">
        <v>36526</v>
      </c>
      <c r="B254" s="1">
        <v>378</v>
      </c>
      <c r="C254" s="1">
        <v>15</v>
      </c>
      <c r="D254" s="1">
        <v>56</v>
      </c>
      <c r="E254" s="1">
        <v>261</v>
      </c>
      <c r="F254" s="1">
        <v>46</v>
      </c>
      <c r="G254" s="1">
        <v>42900</v>
      </c>
    </row>
    <row r="255" spans="1:17" ht="13.35" customHeight="1" x14ac:dyDescent="0.2">
      <c r="A255" s="4">
        <v>36557</v>
      </c>
      <c r="B255" s="1">
        <v>409</v>
      </c>
      <c r="C255" s="1">
        <v>20</v>
      </c>
      <c r="D255" s="1">
        <v>78</v>
      </c>
      <c r="E255" s="1">
        <v>258</v>
      </c>
      <c r="F255" s="1">
        <v>53</v>
      </c>
      <c r="G255" s="1">
        <v>42700</v>
      </c>
    </row>
    <row r="256" spans="1:17" ht="18" customHeight="1" x14ac:dyDescent="0.2">
      <c r="A256" s="4">
        <v>36586</v>
      </c>
      <c r="B256" s="1">
        <v>388</v>
      </c>
      <c r="C256" s="1">
        <v>14</v>
      </c>
      <c r="D256" s="1">
        <v>63</v>
      </c>
      <c r="E256" s="1">
        <v>261</v>
      </c>
      <c r="F256" s="1">
        <v>50</v>
      </c>
      <c r="G256" s="1">
        <v>41600</v>
      </c>
    </row>
    <row r="257" spans="1:17" ht="18" customHeight="1" x14ac:dyDescent="0.2">
      <c r="A257" s="4">
        <v>36617</v>
      </c>
      <c r="B257" s="1">
        <v>370</v>
      </c>
      <c r="C257" s="1">
        <v>12</v>
      </c>
      <c r="D257" s="1">
        <v>59</v>
      </c>
      <c r="E257" s="1">
        <v>253</v>
      </c>
      <c r="F257" s="1">
        <v>46</v>
      </c>
      <c r="G257" s="1">
        <v>42000</v>
      </c>
      <c r="N257" s="3"/>
      <c r="O257" s="3"/>
      <c r="P257" s="3"/>
      <c r="Q257" s="3"/>
    </row>
    <row r="258" spans="1:17" ht="18" customHeight="1" x14ac:dyDescent="0.2">
      <c r="A258" s="4">
        <v>36647</v>
      </c>
      <c r="B258" s="1">
        <v>333</v>
      </c>
      <c r="C258" s="1">
        <v>17</v>
      </c>
      <c r="D258" s="1">
        <v>57</v>
      </c>
      <c r="E258" s="1">
        <v>221</v>
      </c>
      <c r="F258" s="1">
        <v>37</v>
      </c>
      <c r="G258" s="1">
        <v>42100</v>
      </c>
    </row>
    <row r="259" spans="1:17" ht="18" customHeight="1" x14ac:dyDescent="0.2">
      <c r="A259" s="4">
        <v>36678</v>
      </c>
      <c r="B259" s="1">
        <v>320</v>
      </c>
      <c r="C259" s="1">
        <v>13</v>
      </c>
      <c r="D259" s="1">
        <v>46</v>
      </c>
      <c r="E259" s="1">
        <v>216</v>
      </c>
      <c r="F259" s="1">
        <v>46</v>
      </c>
      <c r="G259" s="1">
        <v>43300</v>
      </c>
    </row>
    <row r="260" spans="1:17" ht="18" customHeight="1" x14ac:dyDescent="0.2">
      <c r="A260" s="4">
        <v>36708</v>
      </c>
      <c r="B260" s="1">
        <v>304</v>
      </c>
      <c r="C260" s="1">
        <v>10</v>
      </c>
      <c r="D260" s="1">
        <v>44</v>
      </c>
      <c r="E260" s="1">
        <v>207</v>
      </c>
      <c r="F260" s="1">
        <v>42</v>
      </c>
      <c r="G260" s="1">
        <v>43100</v>
      </c>
    </row>
    <row r="261" spans="1:17" ht="18" customHeight="1" x14ac:dyDescent="0.2">
      <c r="A261" s="4">
        <v>36739</v>
      </c>
      <c r="B261" s="1">
        <v>317</v>
      </c>
      <c r="C261" s="1">
        <v>15</v>
      </c>
      <c r="D261" s="1">
        <v>50</v>
      </c>
      <c r="E261" s="1">
        <v>210</v>
      </c>
      <c r="F261" s="1">
        <v>41</v>
      </c>
      <c r="G261" s="1">
        <v>43100</v>
      </c>
      <c r="N261" s="3"/>
      <c r="O261" s="3"/>
      <c r="P261" s="3"/>
      <c r="Q261" s="3"/>
    </row>
    <row r="262" spans="1:17" ht="18" customHeight="1" x14ac:dyDescent="0.2">
      <c r="A262" s="4">
        <v>36770</v>
      </c>
      <c r="B262" s="1">
        <v>322</v>
      </c>
      <c r="C262" s="1">
        <v>12</v>
      </c>
      <c r="D262" s="1">
        <v>52</v>
      </c>
      <c r="E262" s="1">
        <v>218</v>
      </c>
      <c r="F262" s="1">
        <v>40</v>
      </c>
      <c r="G262" s="1">
        <v>43800</v>
      </c>
    </row>
    <row r="263" spans="1:17" ht="18" customHeight="1" x14ac:dyDescent="0.2">
      <c r="A263" s="4">
        <v>36800</v>
      </c>
      <c r="B263" s="1">
        <v>312</v>
      </c>
      <c r="C263" s="1">
        <v>13</v>
      </c>
      <c r="D263" s="1">
        <v>51</v>
      </c>
      <c r="E263" s="1">
        <v>208</v>
      </c>
      <c r="F263" s="1">
        <v>41</v>
      </c>
      <c r="G263" s="1">
        <v>45000</v>
      </c>
    </row>
    <row r="264" spans="1:17" ht="18" customHeight="1" x14ac:dyDescent="0.2">
      <c r="A264" s="4">
        <v>36831</v>
      </c>
      <c r="B264" s="1">
        <v>320</v>
      </c>
      <c r="C264" s="1">
        <v>18</v>
      </c>
      <c r="D264" s="1">
        <v>51</v>
      </c>
      <c r="E264" s="1">
        <v>211</v>
      </c>
      <c r="F264" s="1">
        <v>41</v>
      </c>
      <c r="G264" s="1">
        <v>45300</v>
      </c>
    </row>
    <row r="265" spans="1:17" ht="18" customHeight="1" x14ac:dyDescent="0.2">
      <c r="A265" s="4">
        <v>36861</v>
      </c>
      <c r="B265" s="1">
        <v>311</v>
      </c>
      <c r="C265" s="1">
        <v>14</v>
      </c>
      <c r="D265" s="1">
        <v>54</v>
      </c>
      <c r="E265" s="1">
        <v>205</v>
      </c>
      <c r="F265" s="1">
        <v>39</v>
      </c>
      <c r="G265" s="1">
        <v>46200</v>
      </c>
      <c r="N265" s="3"/>
      <c r="O265" s="3"/>
      <c r="P265" s="3"/>
      <c r="Q265" s="3"/>
    </row>
    <row r="266" spans="1:17" ht="18" customHeight="1" x14ac:dyDescent="0.2">
      <c r="A266" s="4">
        <v>36892</v>
      </c>
      <c r="B266" s="1">
        <v>312</v>
      </c>
      <c r="C266" s="1">
        <v>8</v>
      </c>
      <c r="D266" s="1">
        <v>52</v>
      </c>
      <c r="E266" s="1">
        <v>200</v>
      </c>
      <c r="F266" s="1">
        <v>52</v>
      </c>
      <c r="G266" s="1">
        <v>46100</v>
      </c>
      <c r="I266" s="3"/>
      <c r="J266" s="3"/>
      <c r="K266" s="3"/>
      <c r="L266" s="3"/>
      <c r="M266" s="3"/>
    </row>
    <row r="267" spans="1:17" ht="18" customHeight="1" x14ac:dyDescent="0.2">
      <c r="A267" s="4">
        <v>36892</v>
      </c>
      <c r="B267" s="1">
        <v>325</v>
      </c>
      <c r="C267" s="1">
        <v>12</v>
      </c>
      <c r="D267" s="1">
        <v>55</v>
      </c>
      <c r="E267" s="1">
        <v>215</v>
      </c>
      <c r="F267" s="1">
        <v>43</v>
      </c>
      <c r="G267" s="1">
        <v>45100</v>
      </c>
    </row>
    <row r="268" spans="1:17" ht="13.35" customHeight="1" x14ac:dyDescent="0.2">
      <c r="A268" s="4">
        <v>36923</v>
      </c>
      <c r="B268" s="1">
        <v>352</v>
      </c>
      <c r="C268" s="1">
        <v>15</v>
      </c>
      <c r="D268" s="1">
        <v>57</v>
      </c>
      <c r="E268" s="1">
        <v>239</v>
      </c>
      <c r="F268" s="1">
        <v>41</v>
      </c>
      <c r="G268" s="1">
        <v>45200</v>
      </c>
      <c r="I268" s="3"/>
      <c r="J268" s="3"/>
      <c r="K268" s="3"/>
      <c r="L268" s="3"/>
      <c r="M268" s="3"/>
    </row>
    <row r="269" spans="1:17" ht="13.35" customHeight="1" x14ac:dyDescent="0.2">
      <c r="A269" s="4">
        <v>36923</v>
      </c>
      <c r="B269" s="1">
        <v>318</v>
      </c>
      <c r="C269" s="1">
        <v>16</v>
      </c>
      <c r="D269" s="1">
        <v>61</v>
      </c>
      <c r="E269" s="1">
        <v>196</v>
      </c>
      <c r="F269" s="1">
        <v>45</v>
      </c>
      <c r="G269" s="1">
        <v>45100</v>
      </c>
    </row>
    <row r="270" spans="1:17" ht="13.35" customHeight="1" x14ac:dyDescent="0.2">
      <c r="A270" s="4">
        <v>36951</v>
      </c>
      <c r="B270" s="1">
        <v>316</v>
      </c>
      <c r="C270" s="1">
        <v>15</v>
      </c>
      <c r="D270" s="1">
        <v>56</v>
      </c>
      <c r="E270" s="1">
        <v>201</v>
      </c>
      <c r="F270" s="1">
        <v>44</v>
      </c>
      <c r="G270" s="1">
        <v>45500</v>
      </c>
      <c r="I270" s="3"/>
      <c r="J270" s="3"/>
      <c r="K270" s="3"/>
      <c r="L270" s="3"/>
      <c r="M270" s="3"/>
    </row>
    <row r="271" spans="1:17" ht="13.35" customHeight="1" x14ac:dyDescent="0.2">
      <c r="A271" s="4">
        <v>36951</v>
      </c>
      <c r="B271" s="1">
        <v>291</v>
      </c>
      <c r="C271" s="1">
        <v>17</v>
      </c>
      <c r="D271" s="1">
        <v>50</v>
      </c>
      <c r="E271" s="1">
        <v>180</v>
      </c>
      <c r="F271" s="1">
        <v>44</v>
      </c>
      <c r="G271" s="1">
        <v>46500</v>
      </c>
    </row>
    <row r="272" spans="1:17" ht="18" customHeight="1" x14ac:dyDescent="0.2">
      <c r="A272" s="4">
        <v>36982</v>
      </c>
      <c r="B272" s="1">
        <v>283</v>
      </c>
      <c r="C272" s="1">
        <v>18</v>
      </c>
      <c r="D272" s="1">
        <v>49</v>
      </c>
      <c r="E272" s="1">
        <v>186</v>
      </c>
      <c r="F272" s="1">
        <v>30</v>
      </c>
      <c r="G272" s="1">
        <v>46300</v>
      </c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3.35" customHeight="1" x14ac:dyDescent="0.2">
      <c r="A273" s="4">
        <v>36982</v>
      </c>
      <c r="B273" s="1">
        <v>265</v>
      </c>
      <c r="C273" s="1">
        <v>15</v>
      </c>
      <c r="D273" s="1">
        <v>49</v>
      </c>
      <c r="E273" s="1">
        <v>163</v>
      </c>
      <c r="F273" s="1">
        <v>39</v>
      </c>
      <c r="G273" s="1">
        <v>47300</v>
      </c>
      <c r="N273" s="3"/>
      <c r="O273" s="3"/>
      <c r="P273" s="3"/>
      <c r="Q273" s="3"/>
    </row>
    <row r="274" spans="1:17" ht="18" customHeight="1" x14ac:dyDescent="0.2">
      <c r="A274" s="4">
        <v>37012</v>
      </c>
      <c r="B274" s="1">
        <v>251</v>
      </c>
      <c r="C274" s="1">
        <v>15</v>
      </c>
      <c r="D274" s="1">
        <v>44</v>
      </c>
      <c r="E274" s="1">
        <v>156</v>
      </c>
      <c r="F274" s="1">
        <v>36</v>
      </c>
      <c r="G274" s="1">
        <v>47000</v>
      </c>
      <c r="I274" s="3"/>
      <c r="J274" s="3"/>
      <c r="K274" s="3"/>
      <c r="L274" s="3"/>
      <c r="M274" s="3"/>
    </row>
    <row r="275" spans="1:17" ht="18" customHeight="1" x14ac:dyDescent="0.2">
      <c r="A275" s="4">
        <v>37012</v>
      </c>
      <c r="B275" s="1">
        <v>233</v>
      </c>
      <c r="C275" s="1">
        <v>12</v>
      </c>
      <c r="D275" s="1">
        <v>48</v>
      </c>
      <c r="E275" s="1">
        <v>148</v>
      </c>
      <c r="F275" s="1">
        <v>24</v>
      </c>
      <c r="G275" s="1">
        <v>47100</v>
      </c>
    </row>
    <row r="276" spans="1:17" ht="18" customHeight="1" x14ac:dyDescent="0.2">
      <c r="A276" s="4">
        <v>37043</v>
      </c>
      <c r="B276" s="1">
        <v>213</v>
      </c>
      <c r="C276" s="1">
        <v>16</v>
      </c>
      <c r="D276" s="1">
        <v>36</v>
      </c>
      <c r="E276" s="1">
        <v>128</v>
      </c>
      <c r="F276" s="1">
        <v>34</v>
      </c>
      <c r="G276" s="1">
        <v>48100</v>
      </c>
      <c r="I276" s="3"/>
      <c r="J276" s="3"/>
      <c r="K276" s="3"/>
      <c r="L276" s="3"/>
      <c r="M276" s="3"/>
    </row>
    <row r="277" spans="1:17" ht="18" customHeight="1" x14ac:dyDescent="0.2">
      <c r="A277" s="4">
        <v>37043</v>
      </c>
      <c r="B277" s="1">
        <v>205</v>
      </c>
      <c r="C277" s="1">
        <v>17</v>
      </c>
      <c r="D277" s="1">
        <v>36</v>
      </c>
      <c r="E277" s="1">
        <v>121</v>
      </c>
      <c r="F277" s="1">
        <v>32</v>
      </c>
      <c r="G277" s="1">
        <v>48900</v>
      </c>
    </row>
    <row r="278" spans="1:17" ht="18" customHeight="1" x14ac:dyDescent="0.2">
      <c r="A278" s="4">
        <v>37073</v>
      </c>
      <c r="B278" s="1">
        <v>215</v>
      </c>
      <c r="C278" s="1">
        <v>8</v>
      </c>
      <c r="D278" s="1">
        <v>50</v>
      </c>
      <c r="E278" s="1">
        <v>124</v>
      </c>
      <c r="F278" s="1">
        <v>33</v>
      </c>
      <c r="G278" s="1">
        <v>49000</v>
      </c>
      <c r="I278" s="3"/>
      <c r="J278" s="3"/>
      <c r="K278" s="3"/>
      <c r="L278" s="3"/>
      <c r="M278" s="3"/>
    </row>
    <row r="279" spans="1:17" ht="18" customHeight="1" x14ac:dyDescent="0.2">
      <c r="A279" s="4">
        <v>37073</v>
      </c>
      <c r="B279" s="1">
        <v>209</v>
      </c>
      <c r="C279" s="1">
        <v>12</v>
      </c>
      <c r="D279" s="1">
        <v>35</v>
      </c>
      <c r="E279" s="1">
        <v>131</v>
      </c>
      <c r="F279" s="1">
        <v>31</v>
      </c>
      <c r="G279" s="1">
        <v>47900</v>
      </c>
    </row>
    <row r="280" spans="1:17" ht="18" customHeight="1" x14ac:dyDescent="0.2">
      <c r="A280" s="4">
        <v>37104</v>
      </c>
      <c r="B280" s="1">
        <v>192</v>
      </c>
      <c r="C280" s="1">
        <v>12</v>
      </c>
      <c r="D280" s="1">
        <v>35</v>
      </c>
      <c r="E280" s="1">
        <v>117</v>
      </c>
      <c r="F280" s="1">
        <v>28</v>
      </c>
      <c r="G280" s="1">
        <v>47100</v>
      </c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8" customHeight="1" x14ac:dyDescent="0.2">
      <c r="A281" s="4">
        <v>37104</v>
      </c>
      <c r="B281" s="1">
        <v>188</v>
      </c>
      <c r="C281" s="1">
        <v>11</v>
      </c>
      <c r="D281" s="1">
        <v>31</v>
      </c>
      <c r="E281" s="1">
        <v>118</v>
      </c>
      <c r="F281" s="1">
        <v>30</v>
      </c>
      <c r="G281" s="1">
        <v>47800</v>
      </c>
      <c r="N281" s="3"/>
      <c r="O281" s="3"/>
      <c r="P281" s="3"/>
      <c r="Q281" s="3"/>
    </row>
    <row r="282" spans="1:17" ht="18" customHeight="1" x14ac:dyDescent="0.2">
      <c r="A282" s="4">
        <v>37135</v>
      </c>
      <c r="B282" s="1">
        <v>176</v>
      </c>
      <c r="C282" s="1">
        <v>10</v>
      </c>
      <c r="D282" s="1">
        <v>30</v>
      </c>
      <c r="E282" s="1">
        <v>108</v>
      </c>
      <c r="F282" s="1">
        <v>28</v>
      </c>
      <c r="G282" s="1">
        <v>47900</v>
      </c>
      <c r="I282" s="3"/>
      <c r="J282" s="3"/>
      <c r="K282" s="3"/>
      <c r="L282" s="3"/>
      <c r="M282" s="3"/>
    </row>
    <row r="283" spans="1:17" ht="18" customHeight="1" x14ac:dyDescent="0.2">
      <c r="A283" s="4">
        <v>37135</v>
      </c>
      <c r="B283" s="1">
        <v>204</v>
      </c>
      <c r="C283" s="1">
        <v>14</v>
      </c>
      <c r="D283" s="1">
        <v>43</v>
      </c>
      <c r="E283" s="1">
        <v>117</v>
      </c>
      <c r="F283" s="1">
        <v>30</v>
      </c>
      <c r="G283" s="1">
        <v>50000</v>
      </c>
    </row>
    <row r="284" spans="1:17" ht="18" customHeight="1" x14ac:dyDescent="0.2">
      <c r="A284" s="4">
        <v>37165</v>
      </c>
      <c r="B284" s="1">
        <v>200</v>
      </c>
      <c r="C284" s="1">
        <v>19</v>
      </c>
      <c r="D284" s="1">
        <v>38</v>
      </c>
      <c r="E284" s="1">
        <v>112</v>
      </c>
      <c r="F284" s="1">
        <v>31</v>
      </c>
      <c r="G284" s="1">
        <v>49400</v>
      </c>
      <c r="I284" s="3"/>
      <c r="J284" s="3"/>
      <c r="K284" s="3"/>
      <c r="L284" s="3"/>
      <c r="M284" s="3"/>
    </row>
    <row r="285" spans="1:17" ht="18" customHeight="1" x14ac:dyDescent="0.2">
      <c r="A285" s="4">
        <v>37165</v>
      </c>
      <c r="B285" s="1">
        <v>194</v>
      </c>
      <c r="C285" s="1">
        <v>9</v>
      </c>
      <c r="D285" s="1">
        <v>40</v>
      </c>
      <c r="E285" s="1">
        <v>114</v>
      </c>
      <c r="F285" s="1">
        <v>32</v>
      </c>
      <c r="G285" s="1">
        <v>49200</v>
      </c>
    </row>
    <row r="286" spans="1:17" ht="13.35" customHeight="1" x14ac:dyDescent="0.2">
      <c r="A286" s="4">
        <v>37196</v>
      </c>
      <c r="B286" s="1">
        <v>203</v>
      </c>
      <c r="C286" s="1">
        <v>14</v>
      </c>
      <c r="D286" s="1">
        <v>37</v>
      </c>
      <c r="E286" s="1">
        <v>121</v>
      </c>
      <c r="F286" s="1">
        <v>31</v>
      </c>
      <c r="G286" s="1">
        <v>49800</v>
      </c>
      <c r="I286" s="3"/>
      <c r="J286" s="3"/>
      <c r="K286" s="3"/>
      <c r="L286" s="3"/>
      <c r="M286" s="3"/>
    </row>
    <row r="287" spans="1:17" ht="13.35" customHeight="1" x14ac:dyDescent="0.2">
      <c r="A287" s="4">
        <v>37196</v>
      </c>
      <c r="B287" s="1">
        <v>194</v>
      </c>
      <c r="C287" s="1">
        <v>12</v>
      </c>
      <c r="D287" s="1">
        <v>41</v>
      </c>
      <c r="E287" s="1">
        <v>113</v>
      </c>
      <c r="F287" s="1">
        <v>28</v>
      </c>
      <c r="G287" s="1">
        <v>49400</v>
      </c>
    </row>
    <row r="288" spans="1:17" ht="13.35" customHeight="1" x14ac:dyDescent="0.2">
      <c r="A288" s="4">
        <v>37226</v>
      </c>
      <c r="B288" s="1">
        <v>195</v>
      </c>
      <c r="C288" s="1">
        <v>12</v>
      </c>
      <c r="D288" s="1">
        <v>41</v>
      </c>
      <c r="E288" s="1">
        <v>111</v>
      </c>
      <c r="F288" s="1">
        <v>31</v>
      </c>
      <c r="G288" s="1">
        <v>49700</v>
      </c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3.35" customHeight="1" x14ac:dyDescent="0.2">
      <c r="A289" s="4">
        <v>37226</v>
      </c>
      <c r="B289" s="1">
        <v>194</v>
      </c>
      <c r="C289" s="1">
        <v>15</v>
      </c>
      <c r="D289" s="1">
        <v>31</v>
      </c>
      <c r="E289" s="1">
        <v>117</v>
      </c>
      <c r="F289" s="1">
        <v>31</v>
      </c>
      <c r="G289" s="1">
        <v>49600</v>
      </c>
    </row>
    <row r="290" spans="1:17" ht="18" customHeight="1" x14ac:dyDescent="0.2">
      <c r="A290" s="4">
        <v>37257</v>
      </c>
      <c r="B290" s="1">
        <v>187</v>
      </c>
      <c r="C290" s="1">
        <v>15</v>
      </c>
      <c r="D290" s="1">
        <v>39</v>
      </c>
      <c r="E290" s="1">
        <v>106</v>
      </c>
      <c r="F290" s="1">
        <v>27</v>
      </c>
      <c r="G290" s="1">
        <v>50800</v>
      </c>
    </row>
    <row r="291" spans="1:17" ht="13.35" customHeight="1" x14ac:dyDescent="0.2">
      <c r="A291" s="4">
        <v>37288</v>
      </c>
      <c r="B291" s="1">
        <v>184</v>
      </c>
      <c r="C291" s="1">
        <v>10</v>
      </c>
      <c r="D291" s="1">
        <v>43</v>
      </c>
      <c r="E291" s="1">
        <v>102</v>
      </c>
      <c r="F291" s="1">
        <v>29</v>
      </c>
      <c r="G291" s="1">
        <v>49800</v>
      </c>
    </row>
    <row r="292" spans="1:17" ht="18" customHeight="1" x14ac:dyDescent="0.2">
      <c r="A292" s="4">
        <v>37316</v>
      </c>
      <c r="B292" s="1">
        <v>166</v>
      </c>
      <c r="C292" s="1">
        <v>9</v>
      </c>
      <c r="D292" s="1">
        <v>32</v>
      </c>
      <c r="E292" s="1">
        <v>98</v>
      </c>
      <c r="F292" s="1">
        <v>26</v>
      </c>
      <c r="G292" s="1">
        <v>51300</v>
      </c>
    </row>
    <row r="293" spans="1:17" ht="18" customHeight="1" x14ac:dyDescent="0.2">
      <c r="A293" s="4">
        <v>37347</v>
      </c>
      <c r="B293" s="1">
        <v>180</v>
      </c>
      <c r="C293" s="1">
        <v>11</v>
      </c>
      <c r="D293" s="1">
        <v>37</v>
      </c>
      <c r="E293" s="1">
        <v>106</v>
      </c>
      <c r="F293" s="1">
        <v>25</v>
      </c>
      <c r="G293" s="1">
        <v>50500</v>
      </c>
      <c r="N293" s="3"/>
      <c r="O293" s="3"/>
      <c r="P293" s="3"/>
      <c r="Q293" s="3"/>
    </row>
    <row r="294" spans="1:17" ht="18" customHeight="1" x14ac:dyDescent="0.2">
      <c r="A294" s="4">
        <v>37377</v>
      </c>
      <c r="B294" s="1">
        <v>204</v>
      </c>
      <c r="C294" s="1">
        <v>14</v>
      </c>
      <c r="D294" s="1">
        <v>33</v>
      </c>
      <c r="E294" s="1">
        <v>122</v>
      </c>
      <c r="F294" s="1">
        <v>35</v>
      </c>
      <c r="G294" s="1">
        <v>49400</v>
      </c>
    </row>
    <row r="295" spans="1:17" ht="18" customHeight="1" x14ac:dyDescent="0.2">
      <c r="A295" s="4">
        <v>37408</v>
      </c>
      <c r="B295" s="1">
        <v>180</v>
      </c>
      <c r="C295" s="1">
        <v>12</v>
      </c>
      <c r="D295" s="1">
        <v>38</v>
      </c>
      <c r="E295" s="1">
        <v>104</v>
      </c>
      <c r="F295" s="1">
        <v>26</v>
      </c>
      <c r="G295" s="1">
        <v>52000</v>
      </c>
    </row>
    <row r="296" spans="1:17" ht="18" customHeight="1" x14ac:dyDescent="0.2">
      <c r="A296" s="4">
        <v>37438</v>
      </c>
      <c r="B296" s="1">
        <v>181</v>
      </c>
      <c r="C296" s="1">
        <v>13</v>
      </c>
      <c r="D296" s="1">
        <v>34</v>
      </c>
      <c r="E296" s="1">
        <v>106</v>
      </c>
      <c r="F296" s="1">
        <v>29</v>
      </c>
      <c r="G296" s="1">
        <v>51400</v>
      </c>
    </row>
    <row r="297" spans="1:17" ht="18" customHeight="1" x14ac:dyDescent="0.2">
      <c r="A297" s="4">
        <v>37469</v>
      </c>
      <c r="B297" s="1">
        <v>178</v>
      </c>
      <c r="C297" s="1">
        <v>13</v>
      </c>
      <c r="D297" s="1">
        <v>32</v>
      </c>
      <c r="E297" s="1">
        <v>108</v>
      </c>
      <c r="F297" s="1">
        <v>25</v>
      </c>
      <c r="G297" s="1">
        <v>52000</v>
      </c>
      <c r="N297" s="3"/>
      <c r="O297" s="3"/>
      <c r="P297" s="3"/>
      <c r="Q297" s="3"/>
    </row>
    <row r="298" spans="1:17" ht="18" customHeight="1" x14ac:dyDescent="0.2">
      <c r="A298" s="4">
        <v>37500</v>
      </c>
      <c r="B298" s="1">
        <v>159</v>
      </c>
      <c r="C298" s="1">
        <v>11</v>
      </c>
      <c r="D298" s="1">
        <v>34</v>
      </c>
      <c r="E298" s="1">
        <v>89</v>
      </c>
      <c r="F298" s="1">
        <v>26</v>
      </c>
      <c r="G298" s="1">
        <v>51500</v>
      </c>
    </row>
    <row r="299" spans="1:17" ht="18" customHeight="1" x14ac:dyDescent="0.2">
      <c r="A299" s="4">
        <v>37530</v>
      </c>
      <c r="B299" s="1">
        <v>159</v>
      </c>
      <c r="C299" s="1">
        <v>11</v>
      </c>
      <c r="D299" s="1">
        <v>33</v>
      </c>
      <c r="E299" s="1">
        <v>87</v>
      </c>
      <c r="F299" s="1">
        <v>28</v>
      </c>
      <c r="G299" s="1">
        <v>51700</v>
      </c>
    </row>
    <row r="300" spans="1:17" ht="18" customHeight="1" x14ac:dyDescent="0.2">
      <c r="A300" s="4">
        <v>37561</v>
      </c>
      <c r="B300" s="1">
        <v>157</v>
      </c>
      <c r="C300" s="1">
        <v>12</v>
      </c>
      <c r="D300" s="1">
        <v>32</v>
      </c>
      <c r="E300" s="1">
        <v>87</v>
      </c>
      <c r="F300" s="1">
        <v>26</v>
      </c>
      <c r="G300" s="1">
        <v>53400</v>
      </c>
    </row>
    <row r="301" spans="1:17" ht="18" customHeight="1" x14ac:dyDescent="0.2">
      <c r="A301" s="4">
        <v>37591</v>
      </c>
      <c r="B301" s="1">
        <v>157</v>
      </c>
      <c r="C301" s="1">
        <v>11</v>
      </c>
      <c r="D301" s="1">
        <v>30</v>
      </c>
      <c r="E301" s="1">
        <v>91</v>
      </c>
      <c r="F301" s="1">
        <v>25</v>
      </c>
      <c r="G301" s="1">
        <v>51800</v>
      </c>
    </row>
    <row r="302" spans="1:17" ht="18" customHeight="1" x14ac:dyDescent="0.2">
      <c r="A302" s="4">
        <v>37622</v>
      </c>
      <c r="B302" s="1">
        <v>151</v>
      </c>
      <c r="C302" s="1">
        <v>13</v>
      </c>
      <c r="D302" s="1">
        <v>29</v>
      </c>
      <c r="E302" s="1">
        <v>83</v>
      </c>
      <c r="F302" s="1">
        <v>26</v>
      </c>
      <c r="G302" s="1">
        <v>54900</v>
      </c>
    </row>
    <row r="303" spans="1:17" ht="18" customHeight="1" x14ac:dyDescent="0.2">
      <c r="A303" s="4">
        <v>37653</v>
      </c>
      <c r="B303" s="1">
        <v>118</v>
      </c>
      <c r="C303" s="1">
        <v>4</v>
      </c>
      <c r="D303" s="1">
        <v>22</v>
      </c>
      <c r="E303" s="1">
        <v>67</v>
      </c>
      <c r="F303" s="1">
        <v>25</v>
      </c>
      <c r="G303" s="1">
        <v>55000</v>
      </c>
    </row>
    <row r="304" spans="1:17" ht="13.35" customHeight="1" x14ac:dyDescent="0.2">
      <c r="A304" s="4">
        <v>37681</v>
      </c>
      <c r="B304" s="1">
        <v>144</v>
      </c>
      <c r="C304" s="1">
        <v>8</v>
      </c>
      <c r="D304" s="1">
        <v>21</v>
      </c>
      <c r="E304" s="1">
        <v>84</v>
      </c>
      <c r="F304" s="1">
        <v>30</v>
      </c>
      <c r="G304" s="1">
        <v>51200</v>
      </c>
    </row>
    <row r="305" spans="1:17" ht="13.35" customHeight="1" x14ac:dyDescent="0.2">
      <c r="A305" s="4">
        <v>37712</v>
      </c>
      <c r="B305" s="1">
        <v>144</v>
      </c>
      <c r="C305" s="1">
        <v>10</v>
      </c>
      <c r="D305" s="1">
        <v>25</v>
      </c>
      <c r="E305" s="1">
        <v>83</v>
      </c>
      <c r="F305" s="1">
        <v>26</v>
      </c>
      <c r="G305" s="1">
        <v>53900</v>
      </c>
      <c r="N305" s="3"/>
      <c r="O305" s="3"/>
      <c r="P305" s="3"/>
      <c r="Q305" s="3"/>
    </row>
    <row r="306" spans="1:17" ht="13.35" customHeight="1" x14ac:dyDescent="0.2">
      <c r="A306" s="4">
        <v>37742</v>
      </c>
      <c r="B306" s="1">
        <v>138</v>
      </c>
      <c r="C306" s="1">
        <v>12</v>
      </c>
      <c r="D306" s="1">
        <v>23</v>
      </c>
      <c r="E306" s="1">
        <v>79</v>
      </c>
      <c r="F306" s="1">
        <v>24</v>
      </c>
      <c r="G306" s="1">
        <v>54800</v>
      </c>
    </row>
    <row r="307" spans="1:17" ht="13.35" customHeight="1" x14ac:dyDescent="0.2">
      <c r="A307" s="4">
        <v>37773</v>
      </c>
      <c r="B307" s="1">
        <v>131</v>
      </c>
      <c r="C307" s="1">
        <v>9</v>
      </c>
      <c r="D307" s="1">
        <v>22</v>
      </c>
      <c r="E307" s="1">
        <v>76</v>
      </c>
      <c r="F307" s="1">
        <v>24</v>
      </c>
      <c r="G307" s="1">
        <v>54100</v>
      </c>
    </row>
    <row r="308" spans="1:17" ht="18" customHeight="1" x14ac:dyDescent="0.2">
      <c r="A308" s="4">
        <v>37803</v>
      </c>
      <c r="B308" s="1">
        <v>129</v>
      </c>
      <c r="C308" s="1">
        <v>10</v>
      </c>
      <c r="D308" s="1">
        <v>26</v>
      </c>
      <c r="E308" s="1">
        <v>70</v>
      </c>
      <c r="F308" s="1">
        <v>23</v>
      </c>
      <c r="G308" s="1">
        <v>55600</v>
      </c>
    </row>
    <row r="309" spans="1:17" ht="13.35" customHeight="1" x14ac:dyDescent="0.2">
      <c r="A309" s="4">
        <v>37834</v>
      </c>
      <c r="B309" s="1">
        <v>140</v>
      </c>
      <c r="C309" s="1">
        <v>14</v>
      </c>
      <c r="D309" s="1">
        <v>28</v>
      </c>
      <c r="E309" s="1">
        <v>72</v>
      </c>
      <c r="F309" s="1">
        <v>25</v>
      </c>
      <c r="G309" s="1">
        <v>54400</v>
      </c>
      <c r="N309" s="3"/>
      <c r="O309" s="3"/>
      <c r="P309" s="3"/>
      <c r="Q309" s="3"/>
    </row>
    <row r="310" spans="1:17" ht="18" customHeight="1" x14ac:dyDescent="0.2">
      <c r="A310" s="4">
        <v>37865</v>
      </c>
      <c r="B310" s="1">
        <v>144</v>
      </c>
      <c r="C310" s="1">
        <v>12</v>
      </c>
      <c r="D310" s="1">
        <v>26</v>
      </c>
      <c r="E310" s="1">
        <v>75</v>
      </c>
      <c r="F310" s="1">
        <v>30</v>
      </c>
      <c r="G310" s="1">
        <v>54300</v>
      </c>
    </row>
    <row r="311" spans="1:17" ht="18" customHeight="1" x14ac:dyDescent="0.2">
      <c r="A311" s="4">
        <v>37895</v>
      </c>
      <c r="B311" s="1">
        <v>148</v>
      </c>
      <c r="C311" s="1">
        <v>12</v>
      </c>
      <c r="D311" s="1">
        <v>27</v>
      </c>
      <c r="E311" s="1">
        <v>82</v>
      </c>
      <c r="F311" s="1">
        <v>27</v>
      </c>
      <c r="G311" s="1">
        <v>56900</v>
      </c>
    </row>
    <row r="312" spans="1:17" ht="18" customHeight="1" x14ac:dyDescent="0.2">
      <c r="A312" s="4">
        <v>37926</v>
      </c>
      <c r="B312" s="1">
        <v>147</v>
      </c>
      <c r="C312" s="1">
        <v>12</v>
      </c>
      <c r="D312" s="1">
        <v>25</v>
      </c>
      <c r="E312" s="1">
        <v>82</v>
      </c>
      <c r="F312" s="1">
        <v>28</v>
      </c>
      <c r="G312" s="1">
        <v>56700</v>
      </c>
    </row>
    <row r="313" spans="1:17" ht="18" customHeight="1" x14ac:dyDescent="0.2">
      <c r="A313" s="4">
        <v>37956</v>
      </c>
      <c r="B313" s="1">
        <v>140</v>
      </c>
      <c r="C313" s="1">
        <v>13</v>
      </c>
      <c r="D313" s="1">
        <v>27</v>
      </c>
      <c r="E313" s="1">
        <v>74</v>
      </c>
      <c r="F313" s="1">
        <v>26</v>
      </c>
      <c r="G313" s="1">
        <v>57600</v>
      </c>
    </row>
    <row r="314" spans="1:17" ht="18" customHeight="1" x14ac:dyDescent="0.2">
      <c r="A314" s="4">
        <v>37987</v>
      </c>
      <c r="B314" s="1">
        <v>132</v>
      </c>
      <c r="C314" s="1">
        <v>9</v>
      </c>
      <c r="D314" s="1">
        <v>32</v>
      </c>
      <c r="E314" s="1">
        <v>67</v>
      </c>
      <c r="F314" s="1">
        <v>23</v>
      </c>
      <c r="G314" s="1">
        <v>57100</v>
      </c>
    </row>
    <row r="315" spans="1:17" ht="18" customHeight="1" x14ac:dyDescent="0.2">
      <c r="A315" s="4">
        <v>38018</v>
      </c>
      <c r="B315" s="1">
        <v>116</v>
      </c>
      <c r="C315" s="1">
        <v>8</v>
      </c>
      <c r="D315" s="1">
        <v>20</v>
      </c>
      <c r="E315" s="1">
        <v>62</v>
      </c>
      <c r="F315" s="1">
        <v>25</v>
      </c>
      <c r="G315" s="1">
        <v>60000</v>
      </c>
    </row>
    <row r="316" spans="1:17" ht="18" customHeight="1" x14ac:dyDescent="0.2">
      <c r="A316" s="4">
        <v>38047</v>
      </c>
      <c r="B316" s="1">
        <v>124</v>
      </c>
      <c r="C316" s="1">
        <v>12</v>
      </c>
      <c r="D316" s="1">
        <v>21</v>
      </c>
      <c r="E316" s="1">
        <v>67</v>
      </c>
      <c r="F316" s="1">
        <v>24</v>
      </c>
      <c r="G316" s="1">
        <v>56900</v>
      </c>
    </row>
    <row r="317" spans="1:17" ht="18" customHeight="1" x14ac:dyDescent="0.2">
      <c r="A317" s="4">
        <v>38078</v>
      </c>
      <c r="B317" s="1">
        <v>138</v>
      </c>
      <c r="C317" s="1">
        <v>10</v>
      </c>
      <c r="D317" s="1">
        <v>22</v>
      </c>
      <c r="E317" s="1">
        <v>73</v>
      </c>
      <c r="F317" s="1">
        <v>33</v>
      </c>
      <c r="G317" s="1">
        <v>57100</v>
      </c>
      <c r="N317" s="3"/>
      <c r="O317" s="3"/>
      <c r="P317" s="3"/>
      <c r="Q317" s="3"/>
    </row>
    <row r="318" spans="1:17" ht="18" customHeight="1" x14ac:dyDescent="0.2">
      <c r="A318" s="4">
        <v>38108</v>
      </c>
      <c r="B318" s="1">
        <v>125</v>
      </c>
      <c r="C318" s="1">
        <v>13</v>
      </c>
      <c r="D318" s="1">
        <v>21</v>
      </c>
      <c r="E318" s="1">
        <v>67</v>
      </c>
      <c r="F318" s="1">
        <v>25</v>
      </c>
      <c r="G318" s="1">
        <v>56200</v>
      </c>
    </row>
    <row r="319" spans="1:17" ht="18" customHeight="1" x14ac:dyDescent="0.2">
      <c r="A319" s="4">
        <v>38139</v>
      </c>
      <c r="B319" s="1">
        <v>136</v>
      </c>
      <c r="C319" s="1">
        <v>12</v>
      </c>
      <c r="D319" s="1">
        <v>20</v>
      </c>
      <c r="E319" s="1">
        <v>80</v>
      </c>
      <c r="F319" s="1">
        <v>25</v>
      </c>
      <c r="G319" s="1">
        <v>56200</v>
      </c>
    </row>
    <row r="320" spans="1:17" ht="18" customHeight="1" x14ac:dyDescent="0.2">
      <c r="A320" s="4">
        <v>38169</v>
      </c>
      <c r="B320" s="1">
        <v>134</v>
      </c>
      <c r="C320" s="1">
        <v>10</v>
      </c>
      <c r="D320" s="1">
        <v>23</v>
      </c>
      <c r="E320" s="1">
        <v>72</v>
      </c>
      <c r="F320" s="1">
        <v>29</v>
      </c>
      <c r="G320" s="1">
        <v>58400</v>
      </c>
    </row>
    <row r="321" spans="1:17" ht="18" customHeight="1" x14ac:dyDescent="0.2">
      <c r="A321" s="4">
        <v>38200</v>
      </c>
      <c r="B321" s="1">
        <v>114</v>
      </c>
      <c r="C321" s="1">
        <v>13</v>
      </c>
      <c r="D321" s="1">
        <v>18</v>
      </c>
      <c r="E321" s="1">
        <v>62</v>
      </c>
      <c r="F321" s="1">
        <v>21</v>
      </c>
      <c r="G321" s="1">
        <v>57500</v>
      </c>
      <c r="N321" s="3"/>
      <c r="O321" s="3"/>
      <c r="P321" s="3"/>
      <c r="Q321" s="3"/>
    </row>
    <row r="322" spans="1:17" ht="13.35" customHeight="1" x14ac:dyDescent="0.2">
      <c r="A322" s="4">
        <v>38231</v>
      </c>
      <c r="B322" s="1">
        <v>121</v>
      </c>
      <c r="C322" s="1">
        <v>11</v>
      </c>
      <c r="D322" s="1">
        <v>19</v>
      </c>
      <c r="E322" s="1">
        <v>66</v>
      </c>
      <c r="F322" s="1">
        <v>25</v>
      </c>
      <c r="G322" s="1">
        <v>57100</v>
      </c>
    </row>
    <row r="323" spans="1:17" ht="13.35" customHeight="1" x14ac:dyDescent="0.2">
      <c r="A323" s="4">
        <v>38261</v>
      </c>
      <c r="B323" s="1">
        <v>114</v>
      </c>
      <c r="C323" s="1">
        <v>10</v>
      </c>
      <c r="D323" s="1">
        <v>18</v>
      </c>
      <c r="E323" s="1">
        <v>62</v>
      </c>
      <c r="F323" s="1">
        <v>23</v>
      </c>
      <c r="G323" s="1">
        <v>61800</v>
      </c>
    </row>
    <row r="324" spans="1:17" ht="13.35" customHeight="1" x14ac:dyDescent="0.2">
      <c r="A324" s="4">
        <v>38292</v>
      </c>
      <c r="B324" s="1">
        <v>112</v>
      </c>
      <c r="C324" s="1">
        <v>9</v>
      </c>
      <c r="D324" s="1">
        <v>19</v>
      </c>
      <c r="E324" s="1">
        <v>61</v>
      </c>
      <c r="F324" s="1">
        <v>23</v>
      </c>
      <c r="G324" s="1">
        <v>61900</v>
      </c>
    </row>
    <row r="325" spans="1:17" ht="13.35" customHeight="1" x14ac:dyDescent="0.2">
      <c r="A325" s="4">
        <v>38322</v>
      </c>
      <c r="B325" s="1">
        <v>126</v>
      </c>
      <c r="C325" s="1">
        <v>11</v>
      </c>
      <c r="D325" s="1">
        <v>20</v>
      </c>
      <c r="E325" s="1">
        <v>66</v>
      </c>
      <c r="F325" s="1">
        <v>28</v>
      </c>
      <c r="G325" s="1">
        <v>60300</v>
      </c>
    </row>
    <row r="326" spans="1:17" ht="18" customHeight="1" x14ac:dyDescent="0.2">
      <c r="A326" s="4">
        <v>38353</v>
      </c>
      <c r="B326" s="1">
        <v>138</v>
      </c>
      <c r="C326" s="1">
        <v>5</v>
      </c>
      <c r="D326" s="1">
        <v>15</v>
      </c>
      <c r="E326" s="1">
        <v>83</v>
      </c>
      <c r="F326" s="1">
        <v>35</v>
      </c>
      <c r="G326" s="1">
        <v>63300</v>
      </c>
    </row>
    <row r="327" spans="1:17" ht="13.35" customHeight="1" x14ac:dyDescent="0.2">
      <c r="A327" s="4">
        <v>38384</v>
      </c>
      <c r="B327" s="1">
        <v>130</v>
      </c>
      <c r="C327" s="1">
        <v>9</v>
      </c>
      <c r="D327" s="1">
        <v>20</v>
      </c>
      <c r="E327" s="1">
        <v>75</v>
      </c>
      <c r="F327" s="1">
        <v>26</v>
      </c>
      <c r="G327" s="1">
        <v>61200</v>
      </c>
    </row>
    <row r="328" spans="1:17" ht="18" customHeight="1" x14ac:dyDescent="0.2">
      <c r="A328" s="4">
        <v>38412</v>
      </c>
      <c r="B328" s="1">
        <v>119</v>
      </c>
      <c r="C328" s="1">
        <v>6</v>
      </c>
      <c r="D328" s="1">
        <v>18</v>
      </c>
      <c r="E328" s="1">
        <v>66</v>
      </c>
      <c r="F328" s="1">
        <v>29</v>
      </c>
      <c r="G328" s="1">
        <v>63600</v>
      </c>
    </row>
    <row r="329" spans="1:17" ht="18" customHeight="1" x14ac:dyDescent="0.2">
      <c r="A329" s="4">
        <v>38443</v>
      </c>
      <c r="B329" s="1">
        <v>117</v>
      </c>
      <c r="C329" s="1">
        <v>8</v>
      </c>
      <c r="D329" s="1">
        <v>18</v>
      </c>
      <c r="E329" s="1">
        <v>65</v>
      </c>
      <c r="F329" s="1">
        <v>26</v>
      </c>
      <c r="G329" s="1">
        <v>59500</v>
      </c>
      <c r="N329" s="3"/>
      <c r="O329" s="3"/>
      <c r="P329" s="3"/>
      <c r="Q329" s="3"/>
    </row>
    <row r="330" spans="1:17" ht="18" customHeight="1" x14ac:dyDescent="0.2">
      <c r="A330" s="4">
        <v>38473</v>
      </c>
      <c r="B330" s="1">
        <v>124</v>
      </c>
      <c r="C330" s="1">
        <v>10</v>
      </c>
      <c r="D330" s="1">
        <v>18</v>
      </c>
      <c r="E330" s="1">
        <v>68</v>
      </c>
      <c r="F330" s="1">
        <v>28</v>
      </c>
      <c r="G330" s="1">
        <v>62100</v>
      </c>
    </row>
    <row r="331" spans="1:17" ht="18" customHeight="1" x14ac:dyDescent="0.2">
      <c r="A331" s="4">
        <v>38504</v>
      </c>
      <c r="B331" s="1">
        <v>125</v>
      </c>
      <c r="C331" s="1">
        <v>11</v>
      </c>
      <c r="D331" s="1">
        <v>20</v>
      </c>
      <c r="E331" s="1">
        <v>64</v>
      </c>
      <c r="F331" s="1">
        <v>30</v>
      </c>
      <c r="G331" s="1">
        <v>63100</v>
      </c>
    </row>
    <row r="332" spans="1:17" ht="18" customHeight="1" x14ac:dyDescent="0.2">
      <c r="A332" s="4">
        <v>38534</v>
      </c>
      <c r="B332" s="1">
        <v>124</v>
      </c>
      <c r="C332" s="1">
        <v>10</v>
      </c>
      <c r="D332" s="1">
        <v>18</v>
      </c>
      <c r="E332" s="1">
        <v>67</v>
      </c>
      <c r="F332" s="1">
        <v>29</v>
      </c>
      <c r="G332" s="1">
        <v>58800</v>
      </c>
    </row>
    <row r="333" spans="1:17" ht="18" customHeight="1" x14ac:dyDescent="0.2">
      <c r="A333" s="4">
        <v>38565</v>
      </c>
      <c r="B333" s="1">
        <v>127</v>
      </c>
      <c r="C333" s="1">
        <v>9</v>
      </c>
      <c r="D333" s="1">
        <v>18</v>
      </c>
      <c r="E333" s="1">
        <v>69</v>
      </c>
      <c r="F333" s="1">
        <v>32</v>
      </c>
      <c r="G333" s="1">
        <v>63400</v>
      </c>
      <c r="N333" s="3"/>
      <c r="O333" s="3"/>
      <c r="P333" s="3"/>
      <c r="Q333" s="3"/>
    </row>
    <row r="334" spans="1:17" ht="18" customHeight="1" x14ac:dyDescent="0.2">
      <c r="A334" s="4">
        <v>38596</v>
      </c>
      <c r="B334" s="1">
        <v>116</v>
      </c>
      <c r="C334" s="1">
        <v>9</v>
      </c>
      <c r="D334" s="1">
        <v>16</v>
      </c>
      <c r="E334" s="1">
        <v>66</v>
      </c>
      <c r="F334" s="1">
        <v>24</v>
      </c>
      <c r="G334" s="1">
        <v>63300</v>
      </c>
    </row>
    <row r="335" spans="1:17" ht="18" customHeight="1" x14ac:dyDescent="0.2">
      <c r="A335" s="4">
        <v>38626</v>
      </c>
      <c r="B335" s="1">
        <v>125</v>
      </c>
      <c r="C335" s="1">
        <v>11</v>
      </c>
      <c r="D335" s="1">
        <v>15</v>
      </c>
      <c r="E335" s="1">
        <v>68</v>
      </c>
      <c r="F335" s="1">
        <v>30</v>
      </c>
      <c r="G335" s="1">
        <v>62100</v>
      </c>
    </row>
    <row r="336" spans="1:17" ht="18" customHeight="1" x14ac:dyDescent="0.2">
      <c r="A336" s="4">
        <v>38657</v>
      </c>
      <c r="B336" s="1">
        <v>127</v>
      </c>
      <c r="C336" s="1">
        <v>9</v>
      </c>
      <c r="D336" s="1">
        <v>16</v>
      </c>
      <c r="E336" s="1">
        <v>77</v>
      </c>
      <c r="F336" s="1">
        <v>25</v>
      </c>
      <c r="G336" s="1">
        <v>62500</v>
      </c>
    </row>
    <row r="337" spans="1:17" ht="18" customHeight="1" x14ac:dyDescent="0.2">
      <c r="A337" s="4">
        <v>38687</v>
      </c>
      <c r="B337" s="1">
        <v>110</v>
      </c>
      <c r="C337" s="1">
        <v>10</v>
      </c>
      <c r="D337" s="1">
        <v>14</v>
      </c>
      <c r="E337" s="1">
        <v>56</v>
      </c>
      <c r="F337" s="1">
        <v>30</v>
      </c>
      <c r="G337" s="1">
        <v>68800</v>
      </c>
    </row>
    <row r="338" spans="1:17" ht="18" customHeight="1" x14ac:dyDescent="0.2">
      <c r="A338" s="4">
        <v>38718</v>
      </c>
      <c r="B338" s="1">
        <v>135</v>
      </c>
      <c r="C338" s="1">
        <v>8</v>
      </c>
      <c r="D338" s="1">
        <v>22</v>
      </c>
      <c r="E338" s="1">
        <v>75</v>
      </c>
      <c r="F338" s="1">
        <v>31</v>
      </c>
      <c r="G338" s="1">
        <v>64100</v>
      </c>
    </row>
    <row r="339" spans="1:17" ht="18" customHeight="1" x14ac:dyDescent="0.2">
      <c r="A339" s="4">
        <v>38749</v>
      </c>
      <c r="B339" s="1">
        <v>128</v>
      </c>
      <c r="C339" s="1">
        <v>10</v>
      </c>
      <c r="D339" s="1">
        <v>22</v>
      </c>
      <c r="E339" s="1">
        <v>70</v>
      </c>
      <c r="F339" s="1">
        <v>27</v>
      </c>
      <c r="G339" s="1">
        <v>66500</v>
      </c>
    </row>
    <row r="340" spans="1:17" ht="13.35" customHeight="1" x14ac:dyDescent="0.2">
      <c r="A340" s="4">
        <v>38777</v>
      </c>
      <c r="B340" s="1">
        <v>121</v>
      </c>
      <c r="C340" s="1">
        <v>9</v>
      </c>
      <c r="D340" s="1">
        <v>18</v>
      </c>
      <c r="E340" s="1">
        <v>67</v>
      </c>
      <c r="F340" s="1">
        <v>26</v>
      </c>
      <c r="G340" s="1">
        <v>64100</v>
      </c>
    </row>
    <row r="341" spans="1:17" ht="13.35" customHeight="1" x14ac:dyDescent="0.2">
      <c r="A341" s="4">
        <v>38808</v>
      </c>
      <c r="B341" s="1">
        <v>114</v>
      </c>
      <c r="C341" s="1">
        <v>9</v>
      </c>
      <c r="D341" s="1">
        <v>13</v>
      </c>
      <c r="E341" s="1">
        <v>65</v>
      </c>
      <c r="F341" s="1">
        <v>27</v>
      </c>
      <c r="G341" s="1">
        <v>62400</v>
      </c>
      <c r="N341" s="3"/>
      <c r="O341" s="3"/>
      <c r="P341" s="3"/>
      <c r="Q341" s="3"/>
    </row>
    <row r="342" spans="1:17" ht="13.35" customHeight="1" x14ac:dyDescent="0.2">
      <c r="A342" s="4">
        <v>38838</v>
      </c>
      <c r="B342" s="1">
        <v>118</v>
      </c>
      <c r="C342" s="1">
        <v>6</v>
      </c>
      <c r="D342" s="1">
        <v>17</v>
      </c>
      <c r="E342" s="1">
        <v>68</v>
      </c>
      <c r="F342" s="1">
        <v>28</v>
      </c>
      <c r="G342" s="1">
        <v>62300</v>
      </c>
    </row>
    <row r="343" spans="1:17" ht="13.35" customHeight="1" x14ac:dyDescent="0.2">
      <c r="A343" s="4">
        <v>38869</v>
      </c>
      <c r="B343" s="1">
        <v>116</v>
      </c>
      <c r="C343" s="1">
        <v>7</v>
      </c>
      <c r="D343" s="1">
        <v>18</v>
      </c>
      <c r="E343" s="1">
        <v>70</v>
      </c>
      <c r="F343" s="1">
        <v>21</v>
      </c>
      <c r="G343" s="1">
        <v>62600</v>
      </c>
    </row>
    <row r="344" spans="1:17" ht="18" customHeight="1" x14ac:dyDescent="0.2">
      <c r="A344" s="4">
        <v>38899</v>
      </c>
      <c r="B344" s="1">
        <v>109</v>
      </c>
      <c r="C344" s="1">
        <v>7</v>
      </c>
      <c r="D344" s="1">
        <v>12</v>
      </c>
      <c r="E344" s="1">
        <v>67</v>
      </c>
      <c r="F344" s="1">
        <v>22</v>
      </c>
      <c r="G344" s="1">
        <v>63500</v>
      </c>
    </row>
    <row r="345" spans="1:17" ht="13.35" customHeight="1" x14ac:dyDescent="0.2">
      <c r="A345" s="4">
        <v>38930</v>
      </c>
      <c r="B345" s="1">
        <v>113</v>
      </c>
      <c r="C345" s="1">
        <v>9</v>
      </c>
      <c r="D345" s="1">
        <v>14</v>
      </c>
      <c r="E345" s="1">
        <v>66</v>
      </c>
      <c r="F345" s="1">
        <v>24</v>
      </c>
      <c r="G345" s="1">
        <v>66600</v>
      </c>
      <c r="N345" s="3"/>
      <c r="O345" s="3"/>
      <c r="P345" s="3"/>
      <c r="Q345" s="3"/>
    </row>
    <row r="346" spans="1:17" ht="18" customHeight="1" x14ac:dyDescent="0.2">
      <c r="A346" s="4">
        <v>38961</v>
      </c>
      <c r="B346" s="1">
        <v>109</v>
      </c>
      <c r="C346" s="1">
        <v>7</v>
      </c>
      <c r="D346" s="1">
        <v>12</v>
      </c>
      <c r="E346" s="1">
        <v>65</v>
      </c>
      <c r="F346" s="1">
        <v>26</v>
      </c>
      <c r="G346" s="1">
        <v>66300</v>
      </c>
    </row>
    <row r="347" spans="1:17" ht="18" customHeight="1" x14ac:dyDescent="0.2">
      <c r="A347" s="4">
        <v>38991</v>
      </c>
      <c r="B347" s="1">
        <v>96</v>
      </c>
      <c r="C347" s="1">
        <v>8</v>
      </c>
      <c r="D347" s="1">
        <v>11</v>
      </c>
      <c r="E347" s="1">
        <v>58</v>
      </c>
      <c r="F347" s="1">
        <v>19</v>
      </c>
      <c r="G347" s="1">
        <v>63700</v>
      </c>
    </row>
    <row r="348" spans="1:17" ht="18" customHeight="1" x14ac:dyDescent="0.2">
      <c r="A348" s="4">
        <v>39022</v>
      </c>
      <c r="B348" s="1">
        <v>105</v>
      </c>
      <c r="C348" s="1">
        <v>11</v>
      </c>
      <c r="D348" s="1">
        <v>13</v>
      </c>
      <c r="E348" s="1">
        <v>61</v>
      </c>
      <c r="F348" s="1">
        <v>19</v>
      </c>
      <c r="G348" s="1">
        <v>64900</v>
      </c>
    </row>
    <row r="349" spans="1:17" ht="18" customHeight="1" x14ac:dyDescent="0.2">
      <c r="A349" s="4">
        <v>39052</v>
      </c>
      <c r="B349" s="1">
        <v>102</v>
      </c>
      <c r="C349" s="1">
        <v>7</v>
      </c>
      <c r="D349" s="1">
        <v>13</v>
      </c>
      <c r="E349" s="1">
        <v>63</v>
      </c>
      <c r="F349" s="1">
        <v>19</v>
      </c>
      <c r="G349" s="1">
        <v>66300</v>
      </c>
    </row>
    <row r="350" spans="1:17" ht="18" customHeight="1" x14ac:dyDescent="0.2">
      <c r="A350" s="4">
        <v>39083</v>
      </c>
      <c r="B350" s="1">
        <v>89</v>
      </c>
      <c r="C350" s="1">
        <v>4</v>
      </c>
      <c r="D350" s="1">
        <v>8</v>
      </c>
      <c r="E350" s="1">
        <v>56</v>
      </c>
      <c r="F350" s="1">
        <v>20</v>
      </c>
      <c r="G350" s="1">
        <v>65700</v>
      </c>
    </row>
    <row r="351" spans="1:17" ht="18" customHeight="1" x14ac:dyDescent="0.2">
      <c r="A351" s="4">
        <v>39114</v>
      </c>
      <c r="B351" s="1">
        <v>88</v>
      </c>
      <c r="C351" s="1">
        <v>10</v>
      </c>
      <c r="D351" s="1">
        <v>5</v>
      </c>
      <c r="E351" s="1">
        <v>54</v>
      </c>
      <c r="F351" s="1">
        <v>18</v>
      </c>
      <c r="G351" s="1">
        <v>65200</v>
      </c>
    </row>
    <row r="352" spans="1:17" ht="18" customHeight="1" x14ac:dyDescent="0.2">
      <c r="A352" s="4">
        <v>39142</v>
      </c>
      <c r="B352" s="1">
        <v>108</v>
      </c>
      <c r="C352" s="1">
        <v>8</v>
      </c>
      <c r="D352" s="1">
        <v>18</v>
      </c>
      <c r="E352" s="1">
        <v>64</v>
      </c>
      <c r="F352" s="1">
        <v>18</v>
      </c>
      <c r="G352" s="1">
        <v>64500</v>
      </c>
    </row>
    <row r="353" spans="1:17" ht="18" customHeight="1" x14ac:dyDescent="0.2">
      <c r="A353" s="4">
        <v>39173</v>
      </c>
      <c r="B353" s="1">
        <v>92</v>
      </c>
      <c r="C353" s="1">
        <v>6</v>
      </c>
      <c r="D353" s="1">
        <v>14</v>
      </c>
      <c r="E353" s="1">
        <v>54</v>
      </c>
      <c r="F353" s="1">
        <v>17</v>
      </c>
      <c r="G353" s="1">
        <v>65300</v>
      </c>
      <c r="N353" s="3"/>
      <c r="O353" s="3"/>
      <c r="P353" s="3"/>
      <c r="Q353" s="3"/>
    </row>
    <row r="354" spans="1:17" ht="18" customHeight="1" x14ac:dyDescent="0.2">
      <c r="A354" s="4">
        <v>39203</v>
      </c>
      <c r="B354" s="1">
        <v>96</v>
      </c>
      <c r="C354" s="1">
        <v>5</v>
      </c>
      <c r="D354" s="1">
        <v>12</v>
      </c>
      <c r="E354" s="1">
        <v>58</v>
      </c>
      <c r="F354" s="1">
        <v>20</v>
      </c>
      <c r="G354" s="1">
        <v>64600</v>
      </c>
    </row>
    <row r="355" spans="1:17" ht="18" customHeight="1" x14ac:dyDescent="0.2">
      <c r="A355" s="4">
        <v>39234</v>
      </c>
      <c r="B355" s="1">
        <v>99</v>
      </c>
      <c r="C355" s="1">
        <v>9</v>
      </c>
      <c r="D355" s="1">
        <v>12</v>
      </c>
      <c r="E355" s="1">
        <v>60</v>
      </c>
      <c r="F355" s="1">
        <v>18</v>
      </c>
      <c r="G355" s="1">
        <v>63300</v>
      </c>
    </row>
    <row r="356" spans="1:17" ht="18" customHeight="1" x14ac:dyDescent="0.2">
      <c r="A356" s="4">
        <v>39264</v>
      </c>
      <c r="B356" s="1">
        <v>99</v>
      </c>
      <c r="C356" s="1">
        <v>7</v>
      </c>
      <c r="D356" s="1">
        <v>11</v>
      </c>
      <c r="E356" s="1">
        <v>62</v>
      </c>
      <c r="F356" s="1">
        <v>19</v>
      </c>
      <c r="G356" s="1">
        <v>64400</v>
      </c>
    </row>
    <row r="357" spans="1:17" ht="18" customHeight="1" x14ac:dyDescent="0.2">
      <c r="A357" s="4">
        <v>39295</v>
      </c>
      <c r="B357" s="1">
        <v>93</v>
      </c>
      <c r="C357" s="1">
        <v>7</v>
      </c>
      <c r="D357" s="1">
        <v>6</v>
      </c>
      <c r="E357" s="1">
        <v>62</v>
      </c>
      <c r="F357" s="1">
        <v>17</v>
      </c>
      <c r="G357" s="1">
        <v>68400</v>
      </c>
      <c r="N357" s="3"/>
      <c r="O357" s="3"/>
      <c r="P357" s="3"/>
      <c r="Q357" s="3"/>
    </row>
    <row r="358" spans="1:17" ht="13.35" customHeight="1" x14ac:dyDescent="0.2">
      <c r="A358" s="4">
        <v>39326</v>
      </c>
      <c r="B358" s="1">
        <v>91</v>
      </c>
      <c r="C358" s="1">
        <v>10</v>
      </c>
      <c r="D358" s="1">
        <v>13</v>
      </c>
      <c r="E358" s="1">
        <v>55</v>
      </c>
      <c r="F358" s="1">
        <v>14</v>
      </c>
      <c r="G358" s="1">
        <v>66200</v>
      </c>
    </row>
    <row r="359" spans="1:17" ht="13.35" customHeight="1" x14ac:dyDescent="0.2">
      <c r="A359" s="4">
        <v>39356</v>
      </c>
      <c r="B359" s="1">
        <v>94</v>
      </c>
      <c r="C359" s="1">
        <v>4</v>
      </c>
      <c r="D359" s="1">
        <v>11</v>
      </c>
      <c r="E359" s="1">
        <v>63</v>
      </c>
      <c r="F359" s="1">
        <v>16</v>
      </c>
      <c r="G359" s="1">
        <v>66700</v>
      </c>
    </row>
    <row r="360" spans="1:17" ht="13.35" customHeight="1" x14ac:dyDescent="0.2">
      <c r="A360" s="4">
        <v>39387</v>
      </c>
      <c r="B360" s="1">
        <v>105</v>
      </c>
      <c r="C360" s="1">
        <v>9</v>
      </c>
      <c r="D360" s="1">
        <v>12</v>
      </c>
      <c r="E360" s="1">
        <v>65</v>
      </c>
      <c r="F360" s="1">
        <v>20</v>
      </c>
      <c r="G360" s="1">
        <v>64500</v>
      </c>
    </row>
    <row r="361" spans="1:17" ht="13.35" customHeight="1" x14ac:dyDescent="0.2">
      <c r="A361" s="4">
        <v>39417</v>
      </c>
      <c r="B361" s="1">
        <v>81</v>
      </c>
      <c r="C361" s="1">
        <v>3</v>
      </c>
      <c r="D361" s="1">
        <v>7</v>
      </c>
      <c r="E361" s="1">
        <v>57</v>
      </c>
      <c r="F361" s="1">
        <v>14</v>
      </c>
      <c r="G361" s="1">
        <v>66000</v>
      </c>
    </row>
    <row r="362" spans="1:17" ht="13.35" customHeight="1" x14ac:dyDescent="0.2">
      <c r="A362" s="4">
        <v>39448</v>
      </c>
      <c r="B362" s="1">
        <v>73</v>
      </c>
      <c r="C362" s="1">
        <v>5</v>
      </c>
      <c r="D362" s="1">
        <v>7</v>
      </c>
      <c r="E362" s="1">
        <v>46</v>
      </c>
      <c r="F362" s="1">
        <v>15</v>
      </c>
      <c r="G362" s="1">
        <v>67600</v>
      </c>
      <c r="I362" s="102"/>
      <c r="J362" s="100"/>
      <c r="K362" s="100"/>
      <c r="L362" s="100"/>
      <c r="M362" s="100"/>
    </row>
    <row r="363" spans="1:17" ht="13.35" customHeight="1" x14ac:dyDescent="0.2">
      <c r="A363" s="4">
        <v>39479</v>
      </c>
      <c r="B363" s="1">
        <v>96</v>
      </c>
      <c r="C363" s="1">
        <v>2</v>
      </c>
      <c r="D363" s="1">
        <v>10</v>
      </c>
      <c r="E363" s="1">
        <v>71</v>
      </c>
      <c r="F363" s="1">
        <v>14</v>
      </c>
      <c r="G363" s="1">
        <v>60600</v>
      </c>
      <c r="I363" s="102"/>
      <c r="J363" s="100"/>
      <c r="K363" s="100"/>
      <c r="L363" s="100"/>
      <c r="M363" s="100"/>
    </row>
    <row r="364" spans="1:17" ht="18" customHeight="1" x14ac:dyDescent="0.2">
      <c r="A364" s="4">
        <v>39508</v>
      </c>
      <c r="B364" s="1">
        <v>84</v>
      </c>
      <c r="C364" s="1">
        <v>3</v>
      </c>
      <c r="D364" s="1">
        <v>9</v>
      </c>
      <c r="E364" s="1">
        <v>58</v>
      </c>
      <c r="F364" s="1">
        <v>14</v>
      </c>
      <c r="G364" s="1">
        <v>62700</v>
      </c>
      <c r="I364" s="102"/>
      <c r="J364" s="100"/>
      <c r="K364" s="100"/>
      <c r="L364" s="100"/>
      <c r="M364" s="100"/>
    </row>
    <row r="365" spans="1:17" ht="18" customHeight="1" x14ac:dyDescent="0.2">
      <c r="A365" s="4">
        <v>39539</v>
      </c>
      <c r="B365" s="1">
        <v>89</v>
      </c>
      <c r="C365" s="1">
        <v>6</v>
      </c>
      <c r="D365" s="1">
        <v>10</v>
      </c>
      <c r="E365" s="1">
        <v>59</v>
      </c>
      <c r="F365" s="1">
        <v>14</v>
      </c>
      <c r="G365" s="1">
        <v>64000</v>
      </c>
      <c r="I365" s="102"/>
      <c r="J365" s="100"/>
      <c r="K365" s="100"/>
      <c r="L365" s="100"/>
      <c r="M365" s="100"/>
      <c r="N365" s="3"/>
      <c r="O365" s="3"/>
      <c r="P365" s="3"/>
      <c r="Q365" s="3"/>
    </row>
    <row r="366" spans="1:17" ht="18" customHeight="1" x14ac:dyDescent="0.2">
      <c r="A366" s="4">
        <v>39569</v>
      </c>
      <c r="B366" s="1">
        <v>87</v>
      </c>
      <c r="C366" s="1">
        <v>6</v>
      </c>
      <c r="D366" s="1">
        <v>9</v>
      </c>
      <c r="E366" s="1">
        <v>58</v>
      </c>
      <c r="F366" s="1">
        <v>14</v>
      </c>
      <c r="G366" s="1">
        <v>63500</v>
      </c>
      <c r="I366" s="102"/>
      <c r="J366" s="100"/>
      <c r="K366" s="100"/>
      <c r="L366" s="100"/>
      <c r="M366" s="100"/>
    </row>
    <row r="367" spans="1:17" ht="18" customHeight="1" x14ac:dyDescent="0.2">
      <c r="A367" s="4">
        <v>39600</v>
      </c>
      <c r="B367" s="1">
        <v>81</v>
      </c>
      <c r="C367" s="1">
        <v>7</v>
      </c>
      <c r="D367" s="1">
        <v>6</v>
      </c>
      <c r="E367" s="1">
        <v>54</v>
      </c>
      <c r="F367" s="1">
        <v>14</v>
      </c>
      <c r="G367" s="1">
        <v>63600</v>
      </c>
      <c r="I367" s="102"/>
      <c r="J367" s="100"/>
      <c r="K367" s="100"/>
      <c r="L367" s="100"/>
      <c r="M367" s="100"/>
    </row>
    <row r="368" spans="1:17" ht="18" customHeight="1" x14ac:dyDescent="0.2">
      <c r="A368" s="4">
        <v>39630</v>
      </c>
      <c r="B368" s="1">
        <v>82</v>
      </c>
      <c r="C368" s="1">
        <v>3</v>
      </c>
      <c r="D368" s="1">
        <v>10</v>
      </c>
      <c r="E368" s="1">
        <v>55</v>
      </c>
      <c r="F368" s="1">
        <v>14</v>
      </c>
      <c r="G368" s="1">
        <v>66600</v>
      </c>
      <c r="I368" s="102"/>
      <c r="J368" s="100"/>
      <c r="K368" s="100"/>
      <c r="L368" s="100"/>
      <c r="M368" s="100"/>
    </row>
    <row r="369" spans="1:17" ht="18" customHeight="1" x14ac:dyDescent="0.2">
      <c r="A369" s="4">
        <v>39661</v>
      </c>
      <c r="B369" s="1">
        <v>82</v>
      </c>
      <c r="C369" s="1">
        <v>7</v>
      </c>
      <c r="D369" s="1">
        <v>7</v>
      </c>
      <c r="E369" s="1">
        <v>54</v>
      </c>
      <c r="F369" s="1">
        <v>14</v>
      </c>
      <c r="G369" s="1">
        <v>66300</v>
      </c>
      <c r="I369" s="102"/>
      <c r="J369" s="100"/>
      <c r="K369" s="100"/>
      <c r="L369" s="100"/>
      <c r="M369" s="100"/>
      <c r="N369" s="3"/>
      <c r="O369" s="3"/>
      <c r="P369" s="3"/>
      <c r="Q369" s="3"/>
    </row>
    <row r="370" spans="1:17" ht="18" customHeight="1" x14ac:dyDescent="0.2">
      <c r="A370" s="4">
        <v>39692</v>
      </c>
      <c r="B370" s="1">
        <v>81</v>
      </c>
      <c r="C370" s="1">
        <v>4</v>
      </c>
      <c r="D370" s="1">
        <v>9</v>
      </c>
      <c r="E370" s="1">
        <v>54</v>
      </c>
      <c r="F370" s="1">
        <v>14</v>
      </c>
      <c r="G370" s="1">
        <v>64000</v>
      </c>
      <c r="I370" s="102"/>
      <c r="J370" s="100"/>
      <c r="K370" s="100"/>
      <c r="L370" s="100"/>
      <c r="M370" s="100"/>
    </row>
    <row r="371" spans="1:17" ht="18" customHeight="1" x14ac:dyDescent="0.2">
      <c r="A371" s="4">
        <v>39722</v>
      </c>
      <c r="B371" s="1">
        <v>76</v>
      </c>
      <c r="C371" s="1">
        <v>7</v>
      </c>
      <c r="D371" s="1">
        <v>7</v>
      </c>
      <c r="E371" s="1">
        <v>51</v>
      </c>
      <c r="F371" s="1">
        <v>10</v>
      </c>
      <c r="G371" s="1">
        <v>65200</v>
      </c>
      <c r="I371" s="102"/>
      <c r="J371" s="100"/>
      <c r="K371" s="100"/>
      <c r="L371" s="100"/>
      <c r="M371" s="100"/>
    </row>
    <row r="372" spans="1:17" ht="18" customHeight="1" x14ac:dyDescent="0.2">
      <c r="A372" s="4">
        <v>39753</v>
      </c>
      <c r="B372" s="1">
        <v>65</v>
      </c>
      <c r="C372" s="1">
        <v>2</v>
      </c>
      <c r="D372" s="1">
        <v>8</v>
      </c>
      <c r="E372" s="1">
        <v>45</v>
      </c>
      <c r="F372" s="1">
        <v>9</v>
      </c>
      <c r="G372" s="1">
        <v>65200</v>
      </c>
      <c r="I372" s="102"/>
      <c r="J372" s="100"/>
      <c r="K372" s="100"/>
      <c r="L372" s="100"/>
      <c r="M372" s="100"/>
    </row>
    <row r="373" spans="1:17" ht="18" customHeight="1" x14ac:dyDescent="0.2">
      <c r="A373" s="4">
        <v>39783</v>
      </c>
      <c r="B373" s="1">
        <v>68</v>
      </c>
      <c r="C373" s="1">
        <v>4</v>
      </c>
      <c r="D373" s="1">
        <v>7</v>
      </c>
      <c r="E373" s="1">
        <v>44</v>
      </c>
      <c r="F373" s="1">
        <v>13</v>
      </c>
      <c r="G373" s="1">
        <v>68600</v>
      </c>
      <c r="I373" s="102"/>
      <c r="J373" s="100"/>
      <c r="K373" s="100"/>
      <c r="L373" s="100"/>
      <c r="M373" s="100"/>
    </row>
    <row r="374" spans="1:17" ht="18" customHeight="1" x14ac:dyDescent="0.2">
      <c r="A374" s="4">
        <v>39814</v>
      </c>
      <c r="B374" s="1">
        <v>65</v>
      </c>
      <c r="C374" s="1">
        <v>4</v>
      </c>
      <c r="D374" s="1">
        <v>6</v>
      </c>
      <c r="E374" s="1">
        <v>48</v>
      </c>
      <c r="F374" s="1">
        <v>6</v>
      </c>
      <c r="G374" s="1">
        <v>64000</v>
      </c>
      <c r="I374" s="102"/>
      <c r="J374" s="100"/>
      <c r="K374" s="100"/>
      <c r="L374" s="100"/>
      <c r="M374" s="100"/>
    </row>
    <row r="375" spans="1:17" ht="18" customHeight="1" x14ac:dyDescent="0.2">
      <c r="A375" s="4">
        <v>39845</v>
      </c>
      <c r="B375" s="1">
        <v>51</v>
      </c>
      <c r="D375" s="1">
        <v>3</v>
      </c>
      <c r="E375" s="1">
        <v>43</v>
      </c>
      <c r="F375" s="1">
        <v>5</v>
      </c>
      <c r="G375" s="1">
        <v>59400</v>
      </c>
      <c r="I375" s="102"/>
      <c r="J375" s="100"/>
      <c r="K375" s="100"/>
      <c r="L375" s="100"/>
      <c r="M375" s="100"/>
    </row>
    <row r="376" spans="1:17" ht="13.35" customHeight="1" x14ac:dyDescent="0.2">
      <c r="A376" s="4">
        <v>39873</v>
      </c>
      <c r="B376" s="1">
        <v>58</v>
      </c>
      <c r="C376" s="1">
        <v>2</v>
      </c>
      <c r="D376" s="1">
        <v>8</v>
      </c>
      <c r="E376" s="1">
        <v>38</v>
      </c>
      <c r="F376" s="1">
        <v>10</v>
      </c>
      <c r="G376" s="1">
        <v>62200</v>
      </c>
      <c r="I376" s="102"/>
      <c r="J376" s="100"/>
      <c r="K376" s="100"/>
      <c r="L376" s="100"/>
      <c r="M376" s="100"/>
    </row>
    <row r="377" spans="1:17" ht="13.35" customHeight="1" x14ac:dyDescent="0.2">
      <c r="A377" s="4">
        <v>39904</v>
      </c>
      <c r="B377" s="1">
        <v>56</v>
      </c>
      <c r="C377" s="1">
        <v>3</v>
      </c>
      <c r="D377" s="1">
        <v>6</v>
      </c>
      <c r="E377" s="1">
        <v>39</v>
      </c>
      <c r="F377" s="1">
        <v>8</v>
      </c>
      <c r="G377" s="1">
        <v>61700</v>
      </c>
      <c r="I377" s="102"/>
      <c r="J377" s="100"/>
      <c r="K377" s="100"/>
      <c r="L377" s="100"/>
      <c r="M377" s="100"/>
      <c r="N377" s="3"/>
      <c r="O377" s="3"/>
      <c r="P377" s="3"/>
      <c r="Q377" s="3"/>
    </row>
    <row r="378" spans="1:17" ht="13.35" customHeight="1" x14ac:dyDescent="0.2">
      <c r="A378" s="4">
        <v>39934</v>
      </c>
      <c r="B378" s="1">
        <v>50</v>
      </c>
      <c r="C378" s="1">
        <v>2</v>
      </c>
      <c r="D378" s="1">
        <v>6</v>
      </c>
      <c r="E378" s="1">
        <v>34</v>
      </c>
      <c r="F378" s="1">
        <v>8</v>
      </c>
      <c r="G378" s="1">
        <v>62400</v>
      </c>
      <c r="I378" s="102"/>
      <c r="J378" s="100"/>
      <c r="K378" s="100"/>
      <c r="L378" s="100"/>
      <c r="M378" s="100"/>
    </row>
    <row r="379" spans="1:17" ht="13.35" customHeight="1" x14ac:dyDescent="0.2">
      <c r="A379" s="4">
        <v>39965</v>
      </c>
      <c r="B379" s="1">
        <v>48</v>
      </c>
      <c r="C379" s="1">
        <v>4</v>
      </c>
      <c r="D379" s="1">
        <v>3</v>
      </c>
      <c r="E379" s="1">
        <v>33</v>
      </c>
      <c r="F379" s="1">
        <v>8</v>
      </c>
      <c r="G379" s="1">
        <v>63100</v>
      </c>
      <c r="I379" s="102"/>
      <c r="J379" s="100"/>
      <c r="K379" s="100"/>
      <c r="L379" s="100"/>
      <c r="M379" s="100"/>
    </row>
    <row r="380" spans="1:17" ht="13.35" customHeight="1" x14ac:dyDescent="0.2">
      <c r="A380" s="4">
        <v>39995</v>
      </c>
      <c r="B380" s="1">
        <v>52</v>
      </c>
      <c r="C380" s="1">
        <v>6</v>
      </c>
      <c r="D380" s="1">
        <v>4</v>
      </c>
      <c r="E380" s="1">
        <v>34</v>
      </c>
      <c r="F380" s="1">
        <v>8</v>
      </c>
      <c r="G380" s="1">
        <v>63600</v>
      </c>
      <c r="I380" s="102"/>
      <c r="J380" s="100"/>
      <c r="K380" s="100"/>
      <c r="L380" s="100"/>
      <c r="M380" s="100"/>
    </row>
    <row r="381" spans="1:17" ht="13.35" customHeight="1" x14ac:dyDescent="0.2">
      <c r="A381" s="4">
        <v>40026</v>
      </c>
      <c r="B381" s="1">
        <v>46</v>
      </c>
      <c r="C381" s="1">
        <v>2</v>
      </c>
      <c r="D381" s="1">
        <v>5</v>
      </c>
      <c r="E381" s="1">
        <v>29</v>
      </c>
      <c r="F381" s="1">
        <v>9</v>
      </c>
      <c r="G381" s="1">
        <v>65500</v>
      </c>
      <c r="I381" s="102"/>
      <c r="J381" s="100"/>
      <c r="K381" s="100"/>
      <c r="L381" s="100"/>
      <c r="M381" s="100"/>
      <c r="N381" s="3"/>
      <c r="O381" s="3"/>
      <c r="P381" s="3"/>
      <c r="Q381" s="3"/>
    </row>
    <row r="382" spans="1:17" ht="18" customHeight="1" x14ac:dyDescent="0.2">
      <c r="A382" s="4">
        <v>40057</v>
      </c>
      <c r="B382" s="1">
        <v>56</v>
      </c>
      <c r="C382" s="1">
        <v>5</v>
      </c>
      <c r="D382" s="1">
        <v>7</v>
      </c>
      <c r="E382" s="1">
        <v>37</v>
      </c>
      <c r="F382" s="1">
        <v>7</v>
      </c>
      <c r="G382" s="1">
        <v>65700</v>
      </c>
      <c r="I382" s="102"/>
      <c r="J382" s="100"/>
      <c r="K382" s="100"/>
      <c r="L382" s="100"/>
      <c r="M382" s="100"/>
    </row>
    <row r="383" spans="1:17" ht="18" customHeight="1" x14ac:dyDescent="0.2">
      <c r="A383" s="4">
        <v>40087</v>
      </c>
      <c r="B383" s="1">
        <v>57</v>
      </c>
      <c r="C383" s="1">
        <v>3</v>
      </c>
      <c r="D383" s="1">
        <v>6</v>
      </c>
      <c r="E383" s="1">
        <v>38</v>
      </c>
      <c r="F383" s="1">
        <v>10</v>
      </c>
      <c r="G383" s="1">
        <v>64600</v>
      </c>
      <c r="I383" s="102"/>
      <c r="J383" s="100"/>
      <c r="K383" s="100"/>
      <c r="L383" s="100"/>
      <c r="M383" s="100"/>
    </row>
    <row r="384" spans="1:17" ht="18" customHeight="1" x14ac:dyDescent="0.2">
      <c r="A384" s="4">
        <v>40118</v>
      </c>
      <c r="B384" s="1">
        <v>66</v>
      </c>
      <c r="C384" s="1">
        <v>4</v>
      </c>
      <c r="D384" s="1">
        <v>5</v>
      </c>
      <c r="E384" s="1">
        <v>47</v>
      </c>
      <c r="F384" s="1">
        <v>10</v>
      </c>
      <c r="G384" s="1">
        <v>64500</v>
      </c>
      <c r="I384" s="102"/>
      <c r="J384" s="100"/>
      <c r="K384" s="100"/>
      <c r="L384" s="100"/>
      <c r="M384" s="100"/>
    </row>
    <row r="385" spans="1:17" ht="18" customHeight="1" x14ac:dyDescent="0.2">
      <c r="A385" s="4">
        <v>40148</v>
      </c>
      <c r="B385" s="1">
        <v>52</v>
      </c>
      <c r="C385" s="1">
        <v>3</v>
      </c>
      <c r="D385" s="1">
        <v>6</v>
      </c>
      <c r="E385" s="1">
        <v>38</v>
      </c>
      <c r="F385" s="1">
        <v>5</v>
      </c>
      <c r="G385" s="1">
        <v>58500</v>
      </c>
      <c r="I385" s="102"/>
      <c r="J385" s="100"/>
      <c r="K385" s="100"/>
      <c r="L385" s="100"/>
      <c r="M385" s="100"/>
    </row>
    <row r="386" spans="1:17" ht="18" customHeight="1" x14ac:dyDescent="0.2">
      <c r="A386" s="4">
        <v>40179</v>
      </c>
      <c r="B386" s="1">
        <v>47</v>
      </c>
      <c r="C386" s="1">
        <v>4</v>
      </c>
      <c r="D386" s="1">
        <v>2</v>
      </c>
      <c r="E386" s="1">
        <v>34</v>
      </c>
      <c r="F386" s="1">
        <v>7</v>
      </c>
      <c r="G386" s="1">
        <v>64900</v>
      </c>
      <c r="I386" s="59"/>
      <c r="J386" s="59"/>
      <c r="K386" s="59"/>
      <c r="L386" s="59"/>
      <c r="M386" s="59"/>
    </row>
    <row r="387" spans="1:17" ht="18" customHeight="1" x14ac:dyDescent="0.2">
      <c r="A387" s="4">
        <v>40210</v>
      </c>
      <c r="B387" s="1">
        <v>47</v>
      </c>
      <c r="C387" s="1">
        <v>3</v>
      </c>
      <c r="D387" s="1">
        <v>6</v>
      </c>
      <c r="E387" s="1">
        <v>33</v>
      </c>
      <c r="F387" s="1">
        <v>5</v>
      </c>
      <c r="G387" s="1">
        <v>66000</v>
      </c>
      <c r="I387" s="59"/>
      <c r="J387" s="59"/>
      <c r="K387" s="59"/>
      <c r="L387" s="59"/>
      <c r="M387" s="59"/>
    </row>
    <row r="388" spans="1:17" ht="18" customHeight="1" x14ac:dyDescent="0.2">
      <c r="A388" s="4">
        <v>40238</v>
      </c>
      <c r="B388" s="1">
        <v>50</v>
      </c>
      <c r="C388" s="1">
        <v>3</v>
      </c>
      <c r="D388" s="1">
        <v>5</v>
      </c>
      <c r="E388" s="1">
        <v>36</v>
      </c>
      <c r="F388" s="1">
        <v>6</v>
      </c>
      <c r="G388" s="1">
        <v>61900</v>
      </c>
      <c r="I388" s="59"/>
      <c r="J388" s="59"/>
      <c r="K388" s="59"/>
      <c r="L388" s="59"/>
      <c r="M388" s="59"/>
    </row>
    <row r="389" spans="1:17" ht="18" customHeight="1" x14ac:dyDescent="0.2">
      <c r="A389" s="4">
        <v>40269</v>
      </c>
      <c r="B389" s="1">
        <v>58</v>
      </c>
      <c r="C389" s="1">
        <v>3</v>
      </c>
      <c r="D389" s="1">
        <v>9</v>
      </c>
      <c r="E389" s="1">
        <v>38</v>
      </c>
      <c r="F389" s="1">
        <v>8</v>
      </c>
      <c r="G389" s="1">
        <v>61300</v>
      </c>
      <c r="I389" s="59"/>
      <c r="J389" s="59"/>
      <c r="K389" s="59"/>
      <c r="L389" s="59"/>
      <c r="M389" s="59"/>
      <c r="N389" s="3"/>
      <c r="O389" s="3"/>
      <c r="P389" s="3"/>
      <c r="Q389" s="3"/>
    </row>
    <row r="390" spans="1:17" ht="18" customHeight="1" x14ac:dyDescent="0.2">
      <c r="A390" s="4">
        <v>40299</v>
      </c>
      <c r="B390" s="1">
        <v>59</v>
      </c>
      <c r="C390" s="1">
        <v>5</v>
      </c>
      <c r="D390" s="1">
        <v>6</v>
      </c>
      <c r="E390" s="1">
        <v>41</v>
      </c>
      <c r="F390" s="1">
        <v>8</v>
      </c>
      <c r="G390" s="1">
        <v>62600</v>
      </c>
      <c r="I390" s="59"/>
      <c r="J390" s="59"/>
      <c r="K390" s="59"/>
      <c r="L390" s="59"/>
      <c r="M390" s="59"/>
    </row>
    <row r="391" spans="1:17" ht="18" customHeight="1" x14ac:dyDescent="0.2">
      <c r="A391" s="4">
        <v>40330</v>
      </c>
      <c r="B391" s="1">
        <v>60</v>
      </c>
      <c r="C391" s="1">
        <v>5</v>
      </c>
      <c r="D391" s="1">
        <v>6</v>
      </c>
      <c r="E391" s="1">
        <v>40</v>
      </c>
      <c r="F391" s="1">
        <v>9</v>
      </c>
      <c r="G391" s="1">
        <v>63000</v>
      </c>
      <c r="I391" s="59"/>
      <c r="J391" s="59"/>
      <c r="K391" s="59"/>
      <c r="L391" s="59"/>
      <c r="M391" s="59"/>
    </row>
    <row r="392" spans="1:17" ht="18" customHeight="1" x14ac:dyDescent="0.2">
      <c r="A392" s="4">
        <v>40360</v>
      </c>
      <c r="B392" s="1">
        <v>54</v>
      </c>
      <c r="C392" s="1">
        <v>4</v>
      </c>
      <c r="D392" s="1">
        <v>6</v>
      </c>
      <c r="E392" s="1">
        <v>38</v>
      </c>
      <c r="F392" s="1">
        <v>6</v>
      </c>
      <c r="G392" s="1">
        <v>63700</v>
      </c>
      <c r="I392" s="59"/>
      <c r="J392" s="59"/>
      <c r="K392" s="59"/>
      <c r="L392" s="59"/>
      <c r="M392" s="59"/>
    </row>
    <row r="393" spans="1:17" ht="18" customHeight="1" x14ac:dyDescent="0.2">
      <c r="A393" s="4">
        <v>40391</v>
      </c>
      <c r="B393" s="1">
        <v>51</v>
      </c>
      <c r="C393" s="1">
        <v>4</v>
      </c>
      <c r="D393" s="1">
        <v>7</v>
      </c>
      <c r="E393" s="1">
        <v>33</v>
      </c>
      <c r="F393" s="1">
        <v>7</v>
      </c>
      <c r="G393" s="1">
        <v>60600</v>
      </c>
      <c r="I393" s="59"/>
      <c r="J393" s="59"/>
      <c r="K393" s="59"/>
      <c r="L393" s="59"/>
      <c r="M393" s="59"/>
      <c r="N393" s="3"/>
      <c r="O393" s="3"/>
      <c r="P393" s="3"/>
      <c r="Q393" s="3"/>
    </row>
    <row r="394" spans="1:17" ht="13.35" customHeight="1" x14ac:dyDescent="0.2">
      <c r="A394" s="4">
        <v>40422</v>
      </c>
      <c r="B394" s="1">
        <v>45</v>
      </c>
      <c r="C394" s="1">
        <v>4</v>
      </c>
      <c r="D394" s="1">
        <v>5</v>
      </c>
      <c r="E394" s="1">
        <v>29</v>
      </c>
      <c r="F394" s="1">
        <v>7</v>
      </c>
      <c r="G394" s="1">
        <v>62100</v>
      </c>
      <c r="I394" s="59"/>
      <c r="J394" s="59"/>
      <c r="K394" s="59"/>
      <c r="L394" s="59"/>
      <c r="M394" s="59"/>
    </row>
    <row r="395" spans="1:17" ht="13.35" customHeight="1" x14ac:dyDescent="0.2">
      <c r="A395" s="4">
        <v>40452</v>
      </c>
      <c r="B395" s="1">
        <v>48</v>
      </c>
      <c r="C395" s="1">
        <v>3</v>
      </c>
      <c r="D395" s="1">
        <v>6</v>
      </c>
      <c r="E395" s="1">
        <v>32</v>
      </c>
      <c r="F395" s="1">
        <v>6</v>
      </c>
      <c r="G395" s="1">
        <v>64700</v>
      </c>
      <c r="I395" s="59"/>
      <c r="J395" s="59"/>
      <c r="K395" s="59"/>
      <c r="L395" s="59"/>
      <c r="M395" s="59"/>
    </row>
    <row r="396" spans="1:17" ht="13.35" customHeight="1" x14ac:dyDescent="0.2">
      <c r="A396" s="4">
        <v>40483</v>
      </c>
      <c r="B396" s="1">
        <v>40</v>
      </c>
      <c r="C396" s="1">
        <v>4</v>
      </c>
      <c r="D396" s="1">
        <v>5</v>
      </c>
      <c r="E396" s="1">
        <v>26</v>
      </c>
      <c r="F396" s="1">
        <v>5</v>
      </c>
      <c r="G396" s="1">
        <v>62200</v>
      </c>
      <c r="I396" s="59"/>
      <c r="J396" s="59"/>
      <c r="K396" s="59"/>
      <c r="L396" s="59"/>
      <c r="M396" s="59"/>
    </row>
    <row r="397" spans="1:17" ht="13.35" customHeight="1" x14ac:dyDescent="0.2">
      <c r="A397" s="4">
        <v>40513</v>
      </c>
      <c r="B397" s="1">
        <v>48</v>
      </c>
      <c r="C397" s="1">
        <v>4</v>
      </c>
      <c r="D397" s="1">
        <v>7</v>
      </c>
      <c r="E397" s="1">
        <v>31</v>
      </c>
      <c r="F397" s="1">
        <v>6</v>
      </c>
      <c r="G397" s="1">
        <v>62900</v>
      </c>
      <c r="I397" s="59"/>
      <c r="J397" s="59"/>
      <c r="K397" s="59"/>
      <c r="L397" s="59"/>
      <c r="M397" s="59"/>
    </row>
    <row r="398" spans="1:17" x14ac:dyDescent="0.2">
      <c r="A398" s="4">
        <v>40544</v>
      </c>
      <c r="B398" s="59">
        <v>36</v>
      </c>
      <c r="C398" s="59">
        <v>2</v>
      </c>
      <c r="D398" s="59">
        <v>4</v>
      </c>
      <c r="E398" s="59">
        <v>23</v>
      </c>
      <c r="F398" s="59">
        <v>7</v>
      </c>
      <c r="G398" s="1">
        <v>61200</v>
      </c>
      <c r="H398" s="61"/>
      <c r="I398" s="59"/>
      <c r="J398" s="59"/>
      <c r="K398" s="59"/>
      <c r="L398" s="59"/>
      <c r="M398" s="59"/>
      <c r="N398" s="59"/>
    </row>
    <row r="399" spans="1:17" x14ac:dyDescent="0.2">
      <c r="A399" s="4">
        <v>40575</v>
      </c>
      <c r="B399" s="59">
        <v>48</v>
      </c>
      <c r="C399" s="59">
        <v>3</v>
      </c>
      <c r="D399" s="59">
        <v>5</v>
      </c>
      <c r="E399" s="59">
        <v>35</v>
      </c>
      <c r="F399" s="59">
        <v>5</v>
      </c>
      <c r="G399" s="1">
        <v>59200</v>
      </c>
      <c r="H399" s="61"/>
      <c r="I399" s="59"/>
      <c r="J399" s="59"/>
      <c r="K399" s="59"/>
      <c r="L399" s="59"/>
      <c r="M399" s="59"/>
      <c r="N399" s="59"/>
    </row>
    <row r="400" spans="1:17" x14ac:dyDescent="0.2">
      <c r="A400" s="4">
        <v>40603</v>
      </c>
      <c r="B400" s="59">
        <v>45</v>
      </c>
      <c r="C400" s="59">
        <v>3</v>
      </c>
      <c r="D400" s="59">
        <v>5</v>
      </c>
      <c r="E400" s="59">
        <v>31</v>
      </c>
      <c r="F400" s="59">
        <v>6</v>
      </c>
      <c r="G400" s="1">
        <v>59800</v>
      </c>
      <c r="H400" s="61"/>
      <c r="I400" s="59"/>
      <c r="J400" s="59"/>
      <c r="K400" s="59"/>
      <c r="L400" s="59"/>
      <c r="M400" s="59"/>
      <c r="N400" s="59"/>
    </row>
    <row r="401" spans="1:14" x14ac:dyDescent="0.2">
      <c r="A401" s="4">
        <v>40634</v>
      </c>
      <c r="B401" s="59">
        <v>47</v>
      </c>
      <c r="C401" s="59">
        <v>3</v>
      </c>
      <c r="D401" s="59">
        <v>4</v>
      </c>
      <c r="E401" s="59">
        <v>33</v>
      </c>
      <c r="F401" s="59">
        <v>7</v>
      </c>
      <c r="G401" s="1">
        <v>57700</v>
      </c>
      <c r="H401" s="61"/>
      <c r="I401" s="59"/>
      <c r="J401" s="59"/>
      <c r="K401" s="59"/>
      <c r="L401" s="59"/>
      <c r="M401" s="59"/>
      <c r="N401" s="59"/>
    </row>
    <row r="402" spans="1:14" x14ac:dyDescent="0.2">
      <c r="A402" s="4">
        <v>40664</v>
      </c>
      <c r="B402" s="59">
        <v>40</v>
      </c>
      <c r="C402" s="59">
        <v>3</v>
      </c>
      <c r="D402" s="59">
        <v>6</v>
      </c>
      <c r="E402" s="59">
        <v>24</v>
      </c>
      <c r="F402" s="59">
        <v>7</v>
      </c>
      <c r="G402" s="1">
        <v>64200</v>
      </c>
      <c r="H402" s="61"/>
      <c r="I402" s="59"/>
      <c r="J402" s="59"/>
      <c r="K402" s="59"/>
      <c r="L402" s="59"/>
      <c r="M402" s="59"/>
      <c r="N402" s="59"/>
    </row>
    <row r="403" spans="1:14" x14ac:dyDescent="0.2">
      <c r="A403" s="4">
        <v>40695</v>
      </c>
      <c r="B403" s="59">
        <v>50</v>
      </c>
      <c r="C403" s="59">
        <v>4</v>
      </c>
      <c r="D403" s="59">
        <v>7</v>
      </c>
      <c r="E403" s="59">
        <v>34</v>
      </c>
      <c r="F403" s="59">
        <v>6</v>
      </c>
      <c r="G403" s="1">
        <v>59300</v>
      </c>
      <c r="H403" s="61"/>
      <c r="I403" s="59"/>
      <c r="J403" s="59"/>
      <c r="K403" s="59"/>
      <c r="L403" s="59"/>
      <c r="M403" s="59"/>
      <c r="N403" s="59"/>
    </row>
    <row r="404" spans="1:14" x14ac:dyDescent="0.2">
      <c r="A404" s="4">
        <v>40725</v>
      </c>
      <c r="B404" s="59">
        <v>48</v>
      </c>
      <c r="C404" s="59">
        <v>3</v>
      </c>
      <c r="D404" s="59">
        <v>7</v>
      </c>
      <c r="E404" s="59">
        <v>31</v>
      </c>
      <c r="F404" s="59">
        <v>7</v>
      </c>
      <c r="G404" s="1">
        <v>61200</v>
      </c>
      <c r="H404" s="61"/>
      <c r="I404" s="59"/>
      <c r="J404" s="59"/>
      <c r="K404" s="59"/>
      <c r="L404" s="59"/>
      <c r="M404" s="59"/>
      <c r="N404" s="59"/>
    </row>
    <row r="405" spans="1:14" x14ac:dyDescent="0.2">
      <c r="A405" s="4">
        <v>40756</v>
      </c>
      <c r="B405" s="59">
        <v>49</v>
      </c>
      <c r="C405" s="59">
        <v>4</v>
      </c>
      <c r="D405" s="59">
        <v>6</v>
      </c>
      <c r="E405" s="59">
        <v>33</v>
      </c>
      <c r="F405" s="59">
        <v>7</v>
      </c>
      <c r="G405" s="1">
        <v>60400</v>
      </c>
      <c r="H405" s="61"/>
      <c r="I405" s="59"/>
      <c r="J405" s="59"/>
      <c r="K405" s="59"/>
      <c r="L405" s="59"/>
      <c r="M405" s="59"/>
      <c r="N405" s="59"/>
    </row>
    <row r="406" spans="1:14" x14ac:dyDescent="0.2">
      <c r="A406" s="4">
        <v>40787</v>
      </c>
      <c r="B406" s="60">
        <v>47</v>
      </c>
      <c r="C406" s="60">
        <v>3</v>
      </c>
      <c r="D406" s="60">
        <v>6</v>
      </c>
      <c r="E406" s="60">
        <v>33</v>
      </c>
      <c r="F406" s="60">
        <v>5</v>
      </c>
      <c r="G406" s="1">
        <v>61700</v>
      </c>
      <c r="H406" s="63"/>
      <c r="I406" s="60"/>
      <c r="J406" s="60"/>
      <c r="K406" s="60"/>
      <c r="L406" s="60"/>
      <c r="M406" s="60"/>
      <c r="N406" s="60"/>
    </row>
    <row r="407" spans="1:14" x14ac:dyDescent="0.2">
      <c r="A407" s="4">
        <v>40817</v>
      </c>
      <c r="B407" s="60">
        <v>48</v>
      </c>
      <c r="C407" s="60">
        <v>4</v>
      </c>
      <c r="D407" s="60">
        <v>6</v>
      </c>
      <c r="E407" s="60">
        <v>31</v>
      </c>
      <c r="F407" s="60">
        <v>7</v>
      </c>
      <c r="G407" s="1">
        <v>60300</v>
      </c>
      <c r="H407" s="63"/>
      <c r="I407" s="60"/>
      <c r="J407" s="60"/>
      <c r="K407" s="60"/>
      <c r="L407" s="60"/>
      <c r="M407" s="60"/>
      <c r="N407" s="60"/>
    </row>
    <row r="408" spans="1:14" x14ac:dyDescent="0.2">
      <c r="A408" s="4">
        <v>40848</v>
      </c>
      <c r="B408" s="60">
        <v>59</v>
      </c>
      <c r="C408" s="60">
        <v>5</v>
      </c>
      <c r="D408" s="60">
        <v>9</v>
      </c>
      <c r="E408" s="60">
        <v>35</v>
      </c>
      <c r="F408" s="60">
        <v>10</v>
      </c>
      <c r="G408" s="1">
        <v>59800</v>
      </c>
      <c r="H408" s="63"/>
      <c r="I408" s="60"/>
      <c r="J408" s="60"/>
      <c r="K408" s="60"/>
      <c r="L408" s="60"/>
      <c r="M408" s="60"/>
      <c r="N408" s="60"/>
    </row>
    <row r="409" spans="1:14" x14ac:dyDescent="0.2">
      <c r="A409" s="4">
        <v>40878</v>
      </c>
      <c r="B409" s="59">
        <v>52</v>
      </c>
      <c r="C409" s="59">
        <v>4</v>
      </c>
      <c r="D409" s="59">
        <v>7</v>
      </c>
      <c r="E409" s="59">
        <v>33</v>
      </c>
      <c r="F409" s="59">
        <v>8</v>
      </c>
      <c r="G409" s="1">
        <v>61700</v>
      </c>
      <c r="H409" s="61"/>
      <c r="I409" s="59"/>
      <c r="J409" s="59"/>
      <c r="K409" s="59"/>
      <c r="L409" s="59"/>
      <c r="M409" s="59"/>
      <c r="N409" s="59"/>
    </row>
    <row r="410" spans="1:14" x14ac:dyDescent="0.2">
      <c r="A410" s="4">
        <v>40909</v>
      </c>
      <c r="B410" s="59">
        <v>58</v>
      </c>
      <c r="C410" s="59">
        <v>5</v>
      </c>
      <c r="D410" s="59">
        <v>13</v>
      </c>
      <c r="E410" s="59">
        <v>36</v>
      </c>
      <c r="F410" s="59">
        <v>4</v>
      </c>
      <c r="G410" s="1">
        <v>61900</v>
      </c>
      <c r="H410" s="61"/>
      <c r="I410" s="59"/>
      <c r="J410" s="59"/>
      <c r="K410" s="59"/>
      <c r="L410" s="59"/>
      <c r="M410" s="59"/>
      <c r="N410" s="59"/>
    </row>
    <row r="411" spans="1:14" x14ac:dyDescent="0.2">
      <c r="A411" s="4">
        <v>40940</v>
      </c>
      <c r="B411" s="59">
        <v>60</v>
      </c>
      <c r="C411" s="59">
        <v>5</v>
      </c>
      <c r="D411" s="59">
        <v>10</v>
      </c>
      <c r="E411" s="59">
        <v>38</v>
      </c>
      <c r="F411" s="59">
        <v>6</v>
      </c>
      <c r="G411" s="1">
        <v>63600</v>
      </c>
      <c r="H411" s="61"/>
      <c r="I411" s="59"/>
      <c r="J411" s="59"/>
      <c r="K411" s="59"/>
      <c r="L411" s="59"/>
      <c r="M411" s="59"/>
      <c r="N411" s="59"/>
    </row>
    <row r="412" spans="1:14" x14ac:dyDescent="0.2">
      <c r="A412" s="4">
        <v>40969</v>
      </c>
      <c r="B412" s="59">
        <v>55</v>
      </c>
      <c r="C412" s="59">
        <v>3</v>
      </c>
      <c r="D412" s="59">
        <v>10</v>
      </c>
      <c r="E412" s="59">
        <v>36</v>
      </c>
      <c r="F412" s="59">
        <v>6</v>
      </c>
      <c r="G412" s="1">
        <v>58500</v>
      </c>
      <c r="H412" s="61"/>
      <c r="I412" s="59"/>
      <c r="J412" s="59"/>
      <c r="K412" s="59"/>
      <c r="L412" s="59"/>
      <c r="M412" s="59"/>
      <c r="N412" s="59"/>
    </row>
    <row r="413" spans="1:14" x14ac:dyDescent="0.2">
      <c r="A413" s="4">
        <v>41000</v>
      </c>
      <c r="B413" s="59">
        <v>52</v>
      </c>
      <c r="C413" s="59">
        <v>4</v>
      </c>
      <c r="D413" s="59">
        <v>7</v>
      </c>
      <c r="E413" s="59">
        <v>33</v>
      </c>
      <c r="F413" s="59">
        <v>7</v>
      </c>
      <c r="G413" s="1">
        <v>63000</v>
      </c>
      <c r="H413" s="61"/>
      <c r="I413" s="59"/>
      <c r="J413" s="59"/>
      <c r="K413" s="59"/>
      <c r="L413" s="59"/>
      <c r="M413" s="59"/>
      <c r="N413" s="59"/>
    </row>
    <row r="414" spans="1:14" x14ac:dyDescent="0.2">
      <c r="A414" s="4">
        <v>41030</v>
      </c>
      <c r="B414" s="59">
        <v>53</v>
      </c>
      <c r="C414" s="59">
        <v>3</v>
      </c>
      <c r="D414" s="59">
        <v>9</v>
      </c>
      <c r="E414" s="59">
        <v>34</v>
      </c>
      <c r="F414" s="59">
        <v>7</v>
      </c>
      <c r="G414" s="1">
        <v>60800</v>
      </c>
      <c r="H414" s="61"/>
      <c r="I414" s="59"/>
      <c r="J414" s="59"/>
      <c r="K414" s="59"/>
      <c r="L414" s="59"/>
      <c r="M414" s="59"/>
      <c r="N414" s="59"/>
    </row>
    <row r="415" spans="1:14" x14ac:dyDescent="0.2">
      <c r="A415" s="4">
        <v>41061</v>
      </c>
      <c r="B415" s="59">
        <v>47</v>
      </c>
      <c r="C415" s="59">
        <v>4</v>
      </c>
      <c r="D415" s="59">
        <v>7</v>
      </c>
      <c r="E415" s="59">
        <v>29</v>
      </c>
      <c r="F415" s="59">
        <v>7</v>
      </c>
      <c r="G415" s="1">
        <v>60400</v>
      </c>
      <c r="H415" s="61"/>
      <c r="I415" s="59"/>
      <c r="J415" s="59"/>
      <c r="K415" s="59"/>
      <c r="L415" s="59"/>
      <c r="M415" s="59"/>
      <c r="N415" s="59"/>
    </row>
    <row r="416" spans="1:14" x14ac:dyDescent="0.2">
      <c r="A416" s="4">
        <v>41091</v>
      </c>
      <c r="B416" s="59">
        <v>49</v>
      </c>
      <c r="C416" s="59">
        <v>3</v>
      </c>
      <c r="D416" s="59">
        <v>7</v>
      </c>
      <c r="E416" s="59">
        <v>31</v>
      </c>
      <c r="F416" s="59">
        <v>7</v>
      </c>
      <c r="G416" s="1">
        <v>63800</v>
      </c>
      <c r="H416" s="61"/>
      <c r="I416" s="59"/>
      <c r="J416" s="59"/>
      <c r="K416" s="59"/>
      <c r="L416" s="59"/>
      <c r="M416" s="59"/>
      <c r="N416" s="59"/>
    </row>
    <row r="417" spans="1:14" x14ac:dyDescent="0.2">
      <c r="A417" s="4">
        <v>41122</v>
      </c>
      <c r="B417" s="59">
        <v>58</v>
      </c>
      <c r="C417" s="59">
        <v>4</v>
      </c>
      <c r="D417" s="59">
        <v>8</v>
      </c>
      <c r="E417" s="59">
        <v>38</v>
      </c>
      <c r="F417" s="59">
        <v>8</v>
      </c>
      <c r="G417" s="1">
        <v>61800</v>
      </c>
      <c r="H417" s="61"/>
      <c r="I417" s="59"/>
      <c r="J417" s="59"/>
      <c r="K417" s="59"/>
      <c r="L417" s="59"/>
      <c r="M417" s="59"/>
      <c r="N417" s="59"/>
    </row>
    <row r="418" spans="1:14" x14ac:dyDescent="0.2">
      <c r="A418" s="4">
        <v>41153</v>
      </c>
      <c r="B418" s="60">
        <v>51</v>
      </c>
      <c r="C418" s="60">
        <v>4</v>
      </c>
      <c r="D418" s="60">
        <v>7</v>
      </c>
      <c r="E418" s="60">
        <v>33</v>
      </c>
      <c r="F418" s="60">
        <v>7</v>
      </c>
      <c r="G418" s="1">
        <v>66300</v>
      </c>
      <c r="H418" s="63"/>
      <c r="I418" s="60"/>
      <c r="J418" s="60"/>
      <c r="K418" s="60"/>
      <c r="L418" s="60"/>
      <c r="M418" s="60"/>
      <c r="N418" s="60"/>
    </row>
    <row r="419" spans="1:14" x14ac:dyDescent="0.2">
      <c r="A419" s="4">
        <v>41183</v>
      </c>
      <c r="B419" s="60">
        <v>50</v>
      </c>
      <c r="C419" s="60">
        <v>4</v>
      </c>
      <c r="D419" s="60">
        <v>7</v>
      </c>
      <c r="E419" s="60">
        <v>33</v>
      </c>
      <c r="F419" s="60">
        <v>6</v>
      </c>
      <c r="G419" s="1">
        <v>63900</v>
      </c>
      <c r="H419" s="63"/>
      <c r="I419" s="60"/>
      <c r="J419" s="60"/>
      <c r="K419" s="60"/>
      <c r="L419" s="60"/>
      <c r="M419" s="60"/>
      <c r="N419" s="60"/>
    </row>
    <row r="420" spans="1:14" x14ac:dyDescent="0.2">
      <c r="A420" s="4">
        <v>41214</v>
      </c>
      <c r="B420" s="60">
        <v>58</v>
      </c>
      <c r="C420" s="60">
        <v>4</v>
      </c>
      <c r="D420" s="60">
        <v>6</v>
      </c>
      <c r="E420" s="60">
        <v>40</v>
      </c>
      <c r="F420" s="60">
        <v>7</v>
      </c>
      <c r="G420" s="1">
        <v>62100</v>
      </c>
      <c r="H420" s="63"/>
      <c r="I420" s="60"/>
      <c r="J420" s="60"/>
      <c r="K420" s="60"/>
      <c r="L420" s="60"/>
      <c r="M420" s="60"/>
      <c r="N420" s="60"/>
    </row>
    <row r="421" spans="1:14" x14ac:dyDescent="0.2">
      <c r="A421" s="4">
        <v>41244</v>
      </c>
      <c r="B421" s="59">
        <v>52</v>
      </c>
      <c r="C421" s="59">
        <v>4</v>
      </c>
      <c r="D421" s="59">
        <v>8</v>
      </c>
      <c r="E421" s="59">
        <v>33</v>
      </c>
      <c r="F421" s="59">
        <v>7</v>
      </c>
      <c r="G421" s="1">
        <v>61400</v>
      </c>
      <c r="H421" s="61"/>
      <c r="I421" s="59"/>
      <c r="J421" s="59"/>
      <c r="K421" s="59"/>
      <c r="L421" s="59"/>
      <c r="M421" s="59"/>
      <c r="N421" s="59"/>
    </row>
    <row r="422" spans="1:14" x14ac:dyDescent="0.2">
      <c r="A422" s="4">
        <v>41275</v>
      </c>
      <c r="B422" s="59">
        <v>47</v>
      </c>
      <c r="C422" s="59">
        <v>2</v>
      </c>
      <c r="D422" s="59">
        <v>8</v>
      </c>
      <c r="E422" s="59">
        <v>31</v>
      </c>
      <c r="F422" s="59">
        <v>6</v>
      </c>
      <c r="G422" s="1">
        <v>62000</v>
      </c>
      <c r="H422" s="61"/>
      <c r="J422" s="59"/>
      <c r="K422" s="59"/>
      <c r="L422" s="59"/>
      <c r="M422" s="59"/>
      <c r="N422" s="59"/>
    </row>
    <row r="423" spans="1:14" x14ac:dyDescent="0.2">
      <c r="A423" s="4">
        <v>41306</v>
      </c>
      <c r="B423" s="59">
        <v>55</v>
      </c>
      <c r="C423" s="59">
        <v>4</v>
      </c>
      <c r="D423" s="59">
        <v>11</v>
      </c>
      <c r="E423" s="59">
        <v>32</v>
      </c>
      <c r="F423" s="59">
        <v>8</v>
      </c>
      <c r="G423" s="1">
        <v>65300</v>
      </c>
      <c r="H423" s="61"/>
      <c r="J423" s="59"/>
      <c r="K423" s="59"/>
      <c r="L423" s="59"/>
      <c r="M423" s="59"/>
      <c r="N423" s="59"/>
    </row>
    <row r="424" spans="1:14" x14ac:dyDescent="0.2">
      <c r="A424" s="4">
        <v>41334</v>
      </c>
      <c r="B424" s="59">
        <v>57</v>
      </c>
      <c r="C424" s="59">
        <v>3</v>
      </c>
      <c r="D424" s="59">
        <v>8</v>
      </c>
      <c r="E424" s="59">
        <v>38</v>
      </c>
      <c r="F424" s="59">
        <v>8</v>
      </c>
      <c r="G424" s="1">
        <v>62000</v>
      </c>
      <c r="H424" s="61"/>
      <c r="J424" s="59"/>
      <c r="K424" s="59"/>
      <c r="L424" s="59"/>
      <c r="M424" s="59"/>
      <c r="N424" s="59"/>
    </row>
    <row r="425" spans="1:14" x14ac:dyDescent="0.2">
      <c r="A425" s="4">
        <v>41365</v>
      </c>
      <c r="B425" s="59">
        <v>54</v>
      </c>
      <c r="C425" s="59">
        <v>3</v>
      </c>
      <c r="D425" s="59">
        <v>8</v>
      </c>
      <c r="E425" s="59">
        <v>36</v>
      </c>
      <c r="F425" s="59">
        <v>7</v>
      </c>
      <c r="G425" s="1">
        <v>64600</v>
      </c>
      <c r="H425" s="62"/>
      <c r="J425" s="59"/>
      <c r="K425" s="59"/>
      <c r="L425" s="59"/>
      <c r="M425" s="59"/>
      <c r="N425" s="59"/>
    </row>
    <row r="426" spans="1:14" x14ac:dyDescent="0.2">
      <c r="A426" s="4">
        <v>41395</v>
      </c>
      <c r="B426" s="59">
        <v>54</v>
      </c>
      <c r="C426" s="59">
        <v>4</v>
      </c>
      <c r="D426" s="59">
        <v>7</v>
      </c>
      <c r="E426" s="59">
        <v>36</v>
      </c>
      <c r="F426" s="59">
        <v>6</v>
      </c>
      <c r="G426" s="1">
        <v>62400</v>
      </c>
      <c r="H426" s="62"/>
      <c r="J426" s="59"/>
      <c r="K426" s="59"/>
      <c r="L426" s="59"/>
      <c r="M426" s="59"/>
      <c r="N426" s="59"/>
    </row>
    <row r="427" spans="1:14" x14ac:dyDescent="0.2">
      <c r="A427" s="4">
        <v>41426</v>
      </c>
      <c r="B427" s="59">
        <v>59</v>
      </c>
      <c r="C427" s="59">
        <v>4</v>
      </c>
      <c r="D427" s="59">
        <v>8</v>
      </c>
      <c r="E427" s="59">
        <v>40</v>
      </c>
      <c r="F427" s="59">
        <v>8</v>
      </c>
      <c r="G427" s="1">
        <v>62400</v>
      </c>
      <c r="H427" s="61"/>
      <c r="J427" s="59"/>
      <c r="K427" s="59"/>
      <c r="L427" s="59"/>
      <c r="M427" s="59"/>
      <c r="N427" s="59"/>
    </row>
    <row r="428" spans="1:14" x14ac:dyDescent="0.2">
      <c r="A428" s="4">
        <v>41456</v>
      </c>
      <c r="B428" s="59">
        <v>56</v>
      </c>
      <c r="C428" s="59">
        <v>4</v>
      </c>
      <c r="D428" s="59">
        <v>7</v>
      </c>
      <c r="E428" s="59">
        <v>37</v>
      </c>
      <c r="F428" s="59">
        <v>8</v>
      </c>
      <c r="G428" s="1">
        <v>64100</v>
      </c>
      <c r="H428" s="61"/>
      <c r="J428" s="59"/>
      <c r="K428" s="59"/>
      <c r="L428" s="59"/>
      <c r="M428" s="59"/>
      <c r="N428" s="59"/>
    </row>
    <row r="429" spans="1:14" x14ac:dyDescent="0.2">
      <c r="A429" s="4">
        <v>41487</v>
      </c>
      <c r="B429" s="59">
        <v>55</v>
      </c>
      <c r="C429" s="59">
        <v>4</v>
      </c>
      <c r="D429" s="59">
        <v>6</v>
      </c>
      <c r="E429" s="59">
        <v>37</v>
      </c>
      <c r="F429" s="59">
        <v>8</v>
      </c>
      <c r="G429" s="1">
        <v>64100</v>
      </c>
      <c r="H429" s="61"/>
      <c r="J429" s="59"/>
      <c r="K429" s="59"/>
      <c r="L429" s="59"/>
      <c r="M429" s="59"/>
      <c r="N429" s="59"/>
    </row>
    <row r="430" spans="1:14" x14ac:dyDescent="0.2">
      <c r="A430" s="4">
        <v>41518</v>
      </c>
      <c r="B430" s="60">
        <v>62</v>
      </c>
      <c r="C430" s="60">
        <v>4</v>
      </c>
      <c r="D430" s="60">
        <v>8</v>
      </c>
      <c r="E430" s="60">
        <v>42</v>
      </c>
      <c r="F430" s="60">
        <v>8</v>
      </c>
      <c r="G430" s="1">
        <v>63300</v>
      </c>
      <c r="H430" s="63"/>
      <c r="J430" s="60"/>
      <c r="K430" s="60"/>
      <c r="L430" s="60"/>
      <c r="M430" s="60"/>
      <c r="N430" s="60"/>
    </row>
    <row r="431" spans="1:14" x14ac:dyDescent="0.2">
      <c r="A431" s="4">
        <v>41548</v>
      </c>
      <c r="B431" s="60">
        <v>61</v>
      </c>
      <c r="C431" s="60">
        <v>5</v>
      </c>
      <c r="D431" s="60">
        <v>8</v>
      </c>
      <c r="E431" s="60">
        <v>40</v>
      </c>
      <c r="F431" s="60">
        <v>8</v>
      </c>
      <c r="G431" s="1">
        <v>63200</v>
      </c>
      <c r="H431" s="63"/>
      <c r="J431" s="60"/>
      <c r="K431" s="60"/>
      <c r="L431" s="60"/>
      <c r="M431" s="60"/>
      <c r="N431" s="60"/>
    </row>
    <row r="432" spans="1:14" x14ac:dyDescent="0.2">
      <c r="A432" s="4">
        <v>41579</v>
      </c>
      <c r="B432" s="64">
        <v>57</v>
      </c>
      <c r="C432" s="64">
        <v>5</v>
      </c>
      <c r="D432" s="64">
        <v>6</v>
      </c>
      <c r="E432" s="64">
        <v>38</v>
      </c>
      <c r="F432" s="64">
        <v>7</v>
      </c>
      <c r="G432" s="1">
        <v>67300</v>
      </c>
      <c r="H432" s="63"/>
      <c r="J432" s="64"/>
      <c r="K432" s="64"/>
      <c r="L432" s="64"/>
      <c r="M432" s="64"/>
      <c r="N432" s="64"/>
    </row>
    <row r="433" spans="1:14" x14ac:dyDescent="0.2">
      <c r="A433" s="4">
        <v>41609</v>
      </c>
      <c r="B433" s="59">
        <v>56</v>
      </c>
      <c r="C433" s="59">
        <v>4</v>
      </c>
      <c r="D433" s="59">
        <v>8</v>
      </c>
      <c r="E433" s="59">
        <v>37</v>
      </c>
      <c r="F433" s="59">
        <v>8</v>
      </c>
      <c r="G433" s="1">
        <v>67900</v>
      </c>
      <c r="H433" s="61"/>
      <c r="J433" s="59"/>
      <c r="K433" s="59"/>
      <c r="L433" s="59"/>
      <c r="M433" s="59"/>
      <c r="N433" s="59"/>
    </row>
    <row r="434" spans="1:14" x14ac:dyDescent="0.2">
      <c r="A434" s="4">
        <v>41640</v>
      </c>
      <c r="B434" s="59">
        <v>53</v>
      </c>
      <c r="C434" s="59">
        <v>4</v>
      </c>
      <c r="D434" s="59">
        <v>4</v>
      </c>
      <c r="E434" s="59">
        <v>37</v>
      </c>
      <c r="F434" s="59">
        <v>8</v>
      </c>
      <c r="G434" s="1">
        <v>68300</v>
      </c>
      <c r="H434" s="61"/>
      <c r="J434" s="59"/>
      <c r="K434" s="59"/>
      <c r="L434" s="59"/>
      <c r="M434" s="59"/>
      <c r="N434" s="59"/>
    </row>
    <row r="435" spans="1:14" x14ac:dyDescent="0.2">
      <c r="A435" s="4">
        <v>41671</v>
      </c>
      <c r="B435" s="59">
        <v>54</v>
      </c>
      <c r="C435" s="59">
        <v>2</v>
      </c>
      <c r="D435" s="59">
        <v>6</v>
      </c>
      <c r="E435" s="59">
        <v>38</v>
      </c>
      <c r="F435" s="59">
        <v>8</v>
      </c>
      <c r="G435" s="1">
        <v>64300</v>
      </c>
      <c r="H435" s="61"/>
      <c r="J435" s="59"/>
      <c r="K435" s="59"/>
      <c r="L435" s="59"/>
      <c r="M435" s="59"/>
      <c r="N435" s="59"/>
    </row>
    <row r="436" spans="1:14" x14ac:dyDescent="0.2">
      <c r="A436" s="4">
        <v>41699</v>
      </c>
      <c r="B436" s="59">
        <v>54</v>
      </c>
      <c r="C436" s="59">
        <v>2</v>
      </c>
      <c r="D436" s="59">
        <v>10</v>
      </c>
      <c r="E436" s="59">
        <v>34</v>
      </c>
      <c r="F436" s="59">
        <v>9</v>
      </c>
      <c r="G436" s="1">
        <v>65700</v>
      </c>
      <c r="H436" s="61"/>
      <c r="J436" s="59"/>
      <c r="K436" s="59"/>
      <c r="L436" s="59"/>
      <c r="M436" s="59"/>
      <c r="N436" s="59"/>
    </row>
    <row r="437" spans="1:14" x14ac:dyDescent="0.2">
      <c r="A437" s="4">
        <v>41730</v>
      </c>
      <c r="B437" s="59">
        <v>64</v>
      </c>
      <c r="C437" s="59">
        <v>5</v>
      </c>
      <c r="D437" s="59">
        <v>9</v>
      </c>
      <c r="E437" s="59">
        <v>43</v>
      </c>
      <c r="F437" s="59">
        <v>7</v>
      </c>
      <c r="G437" s="1">
        <v>66400</v>
      </c>
      <c r="H437" s="62"/>
      <c r="J437" s="59"/>
      <c r="K437" s="59"/>
      <c r="L437" s="59"/>
      <c r="M437" s="59"/>
      <c r="N437" s="59"/>
    </row>
    <row r="438" spans="1:14" x14ac:dyDescent="0.2">
      <c r="A438" s="4">
        <v>41760</v>
      </c>
      <c r="B438" s="59">
        <v>58</v>
      </c>
      <c r="C438" s="59">
        <v>3</v>
      </c>
      <c r="D438" s="59">
        <v>8</v>
      </c>
      <c r="E438" s="59">
        <v>39</v>
      </c>
      <c r="F438" s="59">
        <v>7</v>
      </c>
      <c r="G438" s="1">
        <v>65400</v>
      </c>
      <c r="H438" s="62"/>
      <c r="J438" s="59"/>
      <c r="K438" s="59"/>
      <c r="L438" s="59"/>
      <c r="M438" s="59"/>
      <c r="N438" s="62"/>
    </row>
    <row r="439" spans="1:14" x14ac:dyDescent="0.2">
      <c r="A439" s="4">
        <v>41791</v>
      </c>
      <c r="B439" s="59">
        <v>59</v>
      </c>
      <c r="C439" s="59">
        <v>4</v>
      </c>
      <c r="D439" s="59">
        <v>9</v>
      </c>
      <c r="E439" s="59">
        <v>36</v>
      </c>
      <c r="F439" s="59">
        <v>10</v>
      </c>
      <c r="G439" s="1">
        <v>65200</v>
      </c>
      <c r="J439" s="59"/>
      <c r="K439" s="59"/>
      <c r="L439" s="59"/>
      <c r="M439" s="59"/>
      <c r="N439" s="61"/>
    </row>
    <row r="440" spans="1:14" x14ac:dyDescent="0.2">
      <c r="A440" s="4">
        <v>41821</v>
      </c>
      <c r="B440" s="59">
        <v>57</v>
      </c>
      <c r="C440" s="59">
        <v>4</v>
      </c>
      <c r="D440" s="59">
        <v>7</v>
      </c>
      <c r="E440" s="59">
        <v>39</v>
      </c>
      <c r="F440" s="59">
        <v>7</v>
      </c>
      <c r="G440" s="1">
        <v>63500</v>
      </c>
      <c r="J440" s="59"/>
      <c r="K440" s="59"/>
      <c r="L440" s="59"/>
      <c r="M440" s="59"/>
      <c r="N440" s="61"/>
    </row>
    <row r="441" spans="1:14" x14ac:dyDescent="0.2">
      <c r="A441" s="4">
        <v>41852</v>
      </c>
      <c r="G441" s="1">
        <v>67100</v>
      </c>
    </row>
    <row r="442" spans="1:14" x14ac:dyDescent="0.2">
      <c r="A442" s="4">
        <v>41883</v>
      </c>
      <c r="G442" s="1">
        <v>67000</v>
      </c>
    </row>
    <row r="443" spans="1:14" x14ac:dyDescent="0.2">
      <c r="A443" s="4">
        <v>41913</v>
      </c>
      <c r="G443" s="1">
        <v>62400</v>
      </c>
    </row>
    <row r="444" spans="1:14" x14ac:dyDescent="0.2">
      <c r="A444" s="4">
        <v>41944</v>
      </c>
      <c r="G444" s="1">
        <v>64200</v>
      </c>
    </row>
    <row r="445" spans="1:14" x14ac:dyDescent="0.2">
      <c r="A445" s="4">
        <v>41974</v>
      </c>
      <c r="G445" s="1">
        <v>64800</v>
      </c>
    </row>
    <row r="446" spans="1:14" x14ac:dyDescent="0.2">
      <c r="A446" s="4">
        <v>42005</v>
      </c>
      <c r="G446" s="1">
        <v>68400</v>
      </c>
    </row>
    <row r="447" spans="1:14" x14ac:dyDescent="0.2">
      <c r="A447" s="4">
        <v>42036</v>
      </c>
      <c r="G447" s="1">
        <v>68300</v>
      </c>
    </row>
    <row r="448" spans="1:14" x14ac:dyDescent="0.2">
      <c r="A448" s="4">
        <v>42064</v>
      </c>
      <c r="G448" s="1">
        <v>66200</v>
      </c>
    </row>
    <row r="449" spans="1:7" x14ac:dyDescent="0.2">
      <c r="A449" s="4">
        <v>42095</v>
      </c>
      <c r="G449" s="1">
        <v>67400</v>
      </c>
    </row>
    <row r="450" spans="1:7" x14ac:dyDescent="0.2">
      <c r="A450" s="4">
        <v>42125</v>
      </c>
      <c r="G450" s="1">
        <v>69500</v>
      </c>
    </row>
    <row r="451" spans="1:7" x14ac:dyDescent="0.2">
      <c r="A451" s="4">
        <v>42156</v>
      </c>
      <c r="G451" s="1">
        <v>69100</v>
      </c>
    </row>
    <row r="452" spans="1:7" x14ac:dyDescent="0.2">
      <c r="A452" s="4">
        <v>42186</v>
      </c>
      <c r="G452" s="1">
        <v>64500</v>
      </c>
    </row>
    <row r="453" spans="1:7" x14ac:dyDescent="0.2">
      <c r="A453" s="4">
        <v>42217</v>
      </c>
      <c r="G453" s="1">
        <v>67000</v>
      </c>
    </row>
    <row r="454" spans="1:7" x14ac:dyDescent="0.2">
      <c r="A454" s="4">
        <v>42248</v>
      </c>
      <c r="G454" s="1">
        <v>70700</v>
      </c>
    </row>
    <row r="455" spans="1:7" x14ac:dyDescent="0.2">
      <c r="A455" s="4">
        <v>42278</v>
      </c>
      <c r="G455" s="1">
        <v>66800</v>
      </c>
    </row>
    <row r="456" spans="1:7" x14ac:dyDescent="0.2">
      <c r="A456" s="4">
        <v>42309</v>
      </c>
      <c r="G456" s="1">
        <v>68000</v>
      </c>
    </row>
    <row r="457" spans="1:7" x14ac:dyDescent="0.2">
      <c r="A457" s="4">
        <v>42339</v>
      </c>
      <c r="G457" s="1">
        <v>70800</v>
      </c>
    </row>
    <row r="458" spans="1:7" x14ac:dyDescent="0.2">
      <c r="A458" s="4">
        <v>42370</v>
      </c>
      <c r="G458" s="1">
        <v>67600</v>
      </c>
    </row>
    <row r="459" spans="1:7" x14ac:dyDescent="0.2">
      <c r="A459" s="4">
        <v>42401</v>
      </c>
      <c r="G459" s="1">
        <v>67600</v>
      </c>
    </row>
    <row r="460" spans="1:7" x14ac:dyDescent="0.2">
      <c r="A460" s="4">
        <v>42430</v>
      </c>
      <c r="G460" s="1">
        <v>69800</v>
      </c>
    </row>
    <row r="461" spans="1:7" x14ac:dyDescent="0.2">
      <c r="A461" s="4">
        <v>42461</v>
      </c>
      <c r="G461" s="1">
        <v>67800</v>
      </c>
    </row>
    <row r="462" spans="1:7" x14ac:dyDescent="0.2">
      <c r="A462" s="4">
        <v>42491</v>
      </c>
      <c r="G462" s="1">
        <v>71300</v>
      </c>
    </row>
    <row r="463" spans="1:7" x14ac:dyDescent="0.2">
      <c r="A463" s="4">
        <v>42522</v>
      </c>
      <c r="G463" s="1">
        <v>70500</v>
      </c>
    </row>
    <row r="464" spans="1:7" x14ac:dyDescent="0.2">
      <c r="A464" s="4">
        <v>42552</v>
      </c>
      <c r="G464" s="1">
        <v>73300</v>
      </c>
    </row>
    <row r="465" spans="1:7" x14ac:dyDescent="0.2">
      <c r="A465" s="4">
        <v>42583</v>
      </c>
      <c r="G465" s="1">
        <v>74200</v>
      </c>
    </row>
    <row r="466" spans="1:7" x14ac:dyDescent="0.2">
      <c r="A466" s="4">
        <v>42614</v>
      </c>
      <c r="G466" s="1">
        <v>69400</v>
      </c>
    </row>
    <row r="467" spans="1:7" x14ac:dyDescent="0.2">
      <c r="A467" s="4">
        <v>42644</v>
      </c>
      <c r="G467" s="1">
        <v>71600</v>
      </c>
    </row>
    <row r="468" spans="1:7" x14ac:dyDescent="0.2">
      <c r="A468" s="4">
        <v>42675</v>
      </c>
      <c r="G468" s="1">
        <v>71700</v>
      </c>
    </row>
    <row r="469" spans="1:7" x14ac:dyDescent="0.2">
      <c r="A469" s="4">
        <v>42705</v>
      </c>
      <c r="G469" s="1">
        <v>73100</v>
      </c>
    </row>
    <row r="470" spans="1:7" x14ac:dyDescent="0.2">
      <c r="A470" s="4">
        <v>42736</v>
      </c>
      <c r="G470" s="1">
        <v>68100</v>
      </c>
    </row>
    <row r="471" spans="1:7" x14ac:dyDescent="0.2">
      <c r="A471" s="4">
        <v>42767</v>
      </c>
      <c r="G471" s="1">
        <v>71000</v>
      </c>
    </row>
    <row r="472" spans="1:7" x14ac:dyDescent="0.2">
      <c r="A472" s="4">
        <v>42795</v>
      </c>
      <c r="G472" s="1">
        <v>70100</v>
      </c>
    </row>
    <row r="473" spans="1:7" x14ac:dyDescent="0.2">
      <c r="A473" s="4">
        <v>42826</v>
      </c>
      <c r="G473" s="1">
        <v>73300</v>
      </c>
    </row>
    <row r="474" spans="1:7" x14ac:dyDescent="0.2">
      <c r="A474" s="4">
        <v>42856</v>
      </c>
      <c r="G474" s="1">
        <v>71800</v>
      </c>
    </row>
    <row r="475" spans="1:7" x14ac:dyDescent="0.2">
      <c r="A475" s="4">
        <v>42887</v>
      </c>
      <c r="G475" s="1">
        <v>75600</v>
      </c>
    </row>
    <row r="476" spans="1:7" x14ac:dyDescent="0.2">
      <c r="A476" s="4">
        <v>42917</v>
      </c>
      <c r="G476" s="1">
        <v>75300</v>
      </c>
    </row>
    <row r="477" spans="1:7" x14ac:dyDescent="0.2">
      <c r="A477" s="4">
        <v>42948</v>
      </c>
      <c r="G477" s="1">
        <v>73800</v>
      </c>
    </row>
    <row r="478" spans="1:7" x14ac:dyDescent="0.2">
      <c r="A478" s="4">
        <v>42979</v>
      </c>
      <c r="G478" s="1">
        <v>71800</v>
      </c>
    </row>
    <row r="479" spans="1:7" x14ac:dyDescent="0.2">
      <c r="A479" s="4">
        <v>43009</v>
      </c>
      <c r="G479" s="1">
        <v>68300</v>
      </c>
    </row>
    <row r="480" spans="1:7" x14ac:dyDescent="0.2">
      <c r="A480" s="4">
        <v>43040</v>
      </c>
      <c r="G480" s="1">
        <v>71800</v>
      </c>
    </row>
    <row r="481" spans="1:9" x14ac:dyDescent="0.2">
      <c r="A481" s="4">
        <v>43070</v>
      </c>
      <c r="G481" s="1">
        <v>72900</v>
      </c>
    </row>
    <row r="482" spans="1:9" x14ac:dyDescent="0.2">
      <c r="A482" s="4">
        <v>43101</v>
      </c>
      <c r="G482" s="1">
        <v>69000</v>
      </c>
    </row>
    <row r="483" spans="1:9" x14ac:dyDescent="0.2">
      <c r="A483" s="4">
        <v>43132</v>
      </c>
      <c r="G483" s="1">
        <v>73400</v>
      </c>
      <c r="I483" s="101"/>
    </row>
    <row r="484" spans="1:9" x14ac:dyDescent="0.2">
      <c r="A484" s="4">
        <v>43160</v>
      </c>
      <c r="G484" s="1">
        <v>70600</v>
      </c>
      <c r="I484" s="101"/>
    </row>
    <row r="485" spans="1:9" x14ac:dyDescent="0.2">
      <c r="A485" s="4">
        <v>43191</v>
      </c>
      <c r="G485" s="1">
        <v>74900</v>
      </c>
      <c r="I485" s="101"/>
    </row>
    <row r="486" spans="1:9" x14ac:dyDescent="0.2">
      <c r="A486" s="4">
        <v>43221</v>
      </c>
      <c r="G486" s="1">
        <v>81200</v>
      </c>
      <c r="I486" s="101"/>
    </row>
    <row r="487" spans="1:9" x14ac:dyDescent="0.2">
      <c r="A487" s="4">
        <v>43252</v>
      </c>
      <c r="G487" s="1">
        <v>85400</v>
      </c>
      <c r="I487" s="101"/>
    </row>
    <row r="488" spans="1:9" x14ac:dyDescent="0.2">
      <c r="A488" s="4">
        <v>43282</v>
      </c>
      <c r="G488" s="1">
        <v>78900</v>
      </c>
      <c r="I488" s="101"/>
    </row>
    <row r="489" spans="1:9" x14ac:dyDescent="0.2">
      <c r="A489" s="4">
        <v>43313</v>
      </c>
      <c r="G489" s="1">
        <v>81500</v>
      </c>
      <c r="I489" s="101"/>
    </row>
    <row r="490" spans="1:9" x14ac:dyDescent="0.2">
      <c r="A490" s="4">
        <v>43344</v>
      </c>
      <c r="G490" s="1">
        <v>83600</v>
      </c>
      <c r="I490" s="101"/>
    </row>
    <row r="491" spans="1:9" x14ac:dyDescent="0.2">
      <c r="A491" s="4">
        <v>43374</v>
      </c>
      <c r="G491" s="1">
        <v>82400</v>
      </c>
      <c r="I491" s="101"/>
    </row>
    <row r="492" spans="1:9" x14ac:dyDescent="0.2">
      <c r="A492" s="4">
        <v>43405</v>
      </c>
      <c r="G492" s="1">
        <v>79900</v>
      </c>
      <c r="I492" s="101"/>
    </row>
    <row r="493" spans="1:9" x14ac:dyDescent="0.2">
      <c r="A493" s="4">
        <v>43435</v>
      </c>
      <c r="G493" s="1">
        <v>82400</v>
      </c>
    </row>
    <row r="494" spans="1:9" x14ac:dyDescent="0.2">
      <c r="A494" s="4">
        <v>43466</v>
      </c>
      <c r="G494" s="1">
        <v>81800</v>
      </c>
    </row>
    <row r="495" spans="1:9" x14ac:dyDescent="0.2">
      <c r="A495" s="4">
        <v>43497</v>
      </c>
      <c r="G495" s="1">
        <v>85000</v>
      </c>
    </row>
    <row r="496" spans="1:9" x14ac:dyDescent="0.2">
      <c r="A496" s="4">
        <v>43525</v>
      </c>
      <c r="G496" s="1">
        <v>78900</v>
      </c>
    </row>
    <row r="497" spans="1:7" x14ac:dyDescent="0.2">
      <c r="A497" s="4">
        <v>43556</v>
      </c>
      <c r="G497" s="1">
        <v>78900</v>
      </c>
    </row>
    <row r="498" spans="1:7" x14ac:dyDescent="0.2">
      <c r="A498" s="4">
        <v>43586</v>
      </c>
      <c r="G498" s="1">
        <v>78100</v>
      </c>
    </row>
    <row r="499" spans="1:7" x14ac:dyDescent="0.2">
      <c r="A499" s="4">
        <v>43617</v>
      </c>
      <c r="G499" s="1">
        <v>84400</v>
      </c>
    </row>
    <row r="500" spans="1:7" x14ac:dyDescent="0.2">
      <c r="A500" s="4">
        <v>43647</v>
      </c>
      <c r="G500" s="1">
        <v>82000</v>
      </c>
    </row>
    <row r="501" spans="1:7" x14ac:dyDescent="0.2">
      <c r="A501" s="4">
        <v>43678</v>
      </c>
      <c r="G501" s="1">
        <v>84100</v>
      </c>
    </row>
    <row r="502" spans="1:7" x14ac:dyDescent="0.2">
      <c r="A502" s="4">
        <v>43709</v>
      </c>
      <c r="G502" s="1">
        <v>81500</v>
      </c>
    </row>
    <row r="503" spans="1:7" x14ac:dyDescent="0.2">
      <c r="A503" s="4">
        <v>43739</v>
      </c>
      <c r="G503" s="1">
        <v>81700</v>
      </c>
    </row>
    <row r="504" spans="1:7" x14ac:dyDescent="0.2">
      <c r="A504" s="4">
        <v>43770</v>
      </c>
      <c r="G504" s="1">
        <v>81600</v>
      </c>
    </row>
    <row r="505" spans="1:7" x14ac:dyDescent="0.2">
      <c r="A505" s="4">
        <v>43800</v>
      </c>
      <c r="G505" s="1">
        <v>86400</v>
      </c>
    </row>
    <row r="506" spans="1:7" x14ac:dyDescent="0.2">
      <c r="A506" s="4">
        <v>43831</v>
      </c>
      <c r="G506" s="1">
        <v>86400</v>
      </c>
    </row>
    <row r="507" spans="1:7" x14ac:dyDescent="0.2">
      <c r="A507" s="4">
        <v>43862</v>
      </c>
      <c r="G507" s="1">
        <v>83400</v>
      </c>
    </row>
    <row r="508" spans="1:7" x14ac:dyDescent="0.2">
      <c r="A508" s="4">
        <v>43891</v>
      </c>
      <c r="G508" s="1">
        <v>82900</v>
      </c>
    </row>
    <row r="509" spans="1:7" x14ac:dyDescent="0.2">
      <c r="A509" s="4">
        <v>43922</v>
      </c>
      <c r="G509" s="1">
        <v>86900</v>
      </c>
    </row>
    <row r="510" spans="1:7" s="77" customFormat="1" x14ac:dyDescent="0.2">
      <c r="A510" s="4">
        <v>43952</v>
      </c>
      <c r="G510" s="1">
        <v>85900</v>
      </c>
    </row>
    <row r="511" spans="1:7" s="77" customFormat="1" x14ac:dyDescent="0.2">
      <c r="A511" s="4">
        <v>43983</v>
      </c>
      <c r="G511" s="1">
        <v>85600</v>
      </c>
    </row>
    <row r="512" spans="1:7" x14ac:dyDescent="0.2">
      <c r="A512" s="4">
        <v>44013</v>
      </c>
      <c r="B512" s="103"/>
      <c r="C512" s="78"/>
      <c r="G512" s="1">
        <v>84200</v>
      </c>
    </row>
    <row r="513" spans="1:7" x14ac:dyDescent="0.2">
      <c r="A513" s="4">
        <v>44044</v>
      </c>
      <c r="G513" s="1">
        <v>88200</v>
      </c>
    </row>
    <row r="514" spans="1:7" x14ac:dyDescent="0.2">
      <c r="A514" s="4">
        <v>44076</v>
      </c>
      <c r="G514" s="1">
        <v>87300</v>
      </c>
    </row>
    <row r="515" spans="1:7" x14ac:dyDescent="0.2">
      <c r="A515" s="4">
        <v>44105</v>
      </c>
      <c r="G515" s="1">
        <v>89400</v>
      </c>
    </row>
    <row r="516" spans="1:7" x14ac:dyDescent="0.2">
      <c r="A516" s="4">
        <v>44136</v>
      </c>
      <c r="G516" s="1">
        <v>92600</v>
      </c>
    </row>
    <row r="517" spans="1:7" x14ac:dyDescent="0.2">
      <c r="A517" s="4">
        <v>44166</v>
      </c>
      <c r="G517" s="1">
        <v>90200</v>
      </c>
    </row>
    <row r="518" spans="1:7" x14ac:dyDescent="0.2">
      <c r="A518" s="4">
        <v>44197</v>
      </c>
      <c r="G518" s="1">
        <v>95000</v>
      </c>
    </row>
    <row r="519" spans="1:7" x14ac:dyDescent="0.2">
      <c r="A519" s="4">
        <v>44228</v>
      </c>
      <c r="G519" s="1">
        <v>98300</v>
      </c>
    </row>
    <row r="520" spans="1:7" x14ac:dyDescent="0.2">
      <c r="A520" s="4">
        <v>44257</v>
      </c>
      <c r="G520" s="1">
        <v>98100</v>
      </c>
    </row>
    <row r="521" spans="1:7" x14ac:dyDescent="0.2">
      <c r="A521" s="4">
        <v>44289</v>
      </c>
      <c r="G521" s="1">
        <v>100200</v>
      </c>
    </row>
    <row r="522" spans="1:7" x14ac:dyDescent="0.2">
      <c r="A522" s="4">
        <v>44320</v>
      </c>
      <c r="G522" s="1">
        <v>106500</v>
      </c>
    </row>
    <row r="523" spans="1:7" x14ac:dyDescent="0.2">
      <c r="A523" s="4">
        <v>44352</v>
      </c>
      <c r="G523" s="1">
        <v>106800</v>
      </c>
    </row>
    <row r="524" spans="1:7" x14ac:dyDescent="0.2">
      <c r="A524" s="4">
        <v>44383</v>
      </c>
      <c r="G524" s="1">
        <v>118700</v>
      </c>
    </row>
    <row r="525" spans="1:7" x14ac:dyDescent="0.2">
      <c r="A525" s="4">
        <v>44415</v>
      </c>
      <c r="G525" s="1">
        <v>112000</v>
      </c>
    </row>
    <row r="526" spans="1:7" x14ac:dyDescent="0.2">
      <c r="A526" s="4">
        <v>44447</v>
      </c>
      <c r="G526" s="1">
        <v>118300</v>
      </c>
    </row>
    <row r="527" spans="1:7" x14ac:dyDescent="0.2">
      <c r="A527" s="4">
        <v>44470</v>
      </c>
      <c r="G527" s="1">
        <v>112000</v>
      </c>
    </row>
    <row r="528" spans="1:7" x14ac:dyDescent="0.2">
      <c r="A528" s="4">
        <v>44501</v>
      </c>
      <c r="G528" s="1">
        <v>111900</v>
      </c>
    </row>
    <row r="529" spans="1:7" x14ac:dyDescent="0.2">
      <c r="A529" s="4">
        <v>44531</v>
      </c>
      <c r="G529" s="1">
        <v>123200</v>
      </c>
    </row>
    <row r="530" spans="1:7" x14ac:dyDescent="0.2">
      <c r="A530" s="4">
        <v>44562</v>
      </c>
      <c r="G530" s="1">
        <v>122500</v>
      </c>
    </row>
    <row r="531" spans="1:7" x14ac:dyDescent="0.2">
      <c r="A531" s="4">
        <v>44593</v>
      </c>
      <c r="G531" s="1">
        <v>128000</v>
      </c>
    </row>
    <row r="532" spans="1:7" x14ac:dyDescent="0.2">
      <c r="A532" s="4">
        <v>44621</v>
      </c>
      <c r="G532" s="1">
        <v>129200</v>
      </c>
    </row>
    <row r="533" spans="1:7" x14ac:dyDescent="0.2">
      <c r="A533" s="4">
        <v>44652</v>
      </c>
      <c r="G533" s="1">
        <v>132000</v>
      </c>
    </row>
    <row r="534" spans="1:7" x14ac:dyDescent="0.2">
      <c r="A534" s="4">
        <v>44682</v>
      </c>
      <c r="G534" s="1">
        <v>124900</v>
      </c>
    </row>
    <row r="535" spans="1:7" x14ac:dyDescent="0.2">
      <c r="A535" s="4">
        <v>44713</v>
      </c>
      <c r="G535" s="1">
        <v>126900</v>
      </c>
    </row>
    <row r="536" spans="1:7" x14ac:dyDescent="0.2">
      <c r="A536" s="4">
        <v>44743</v>
      </c>
      <c r="G536" s="1">
        <v>131800</v>
      </c>
    </row>
    <row r="537" spans="1:7" x14ac:dyDescent="0.2">
      <c r="A537" s="4">
        <v>44774</v>
      </c>
      <c r="G537" s="1">
        <v>125700</v>
      </c>
    </row>
    <row r="538" spans="1:7" x14ac:dyDescent="0.2">
      <c r="A538" s="4">
        <v>44805</v>
      </c>
      <c r="G538" s="105">
        <v>130400</v>
      </c>
    </row>
    <row r="539" spans="1:7" x14ac:dyDescent="0.2">
      <c r="A539" s="4">
        <v>44835</v>
      </c>
      <c r="G539" s="1">
        <v>128300</v>
      </c>
    </row>
    <row r="540" spans="1:7" x14ac:dyDescent="0.2">
      <c r="A540" s="4">
        <v>44866</v>
      </c>
      <c r="G540" s="1">
        <v>125200</v>
      </c>
    </row>
    <row r="541" spans="1:7" x14ac:dyDescent="0.2">
      <c r="A541" s="4">
        <v>44896</v>
      </c>
      <c r="G541" s="1">
        <v>122100</v>
      </c>
    </row>
    <row r="542" spans="1:7" x14ac:dyDescent="0.2">
      <c r="A542" s="4">
        <v>44927</v>
      </c>
      <c r="G542" s="1">
        <v>126100</v>
      </c>
    </row>
    <row r="543" spans="1:7" x14ac:dyDescent="0.2">
      <c r="A543" s="4">
        <v>44958</v>
      </c>
      <c r="G543" s="1">
        <v>128100</v>
      </c>
    </row>
    <row r="544" spans="1:7" x14ac:dyDescent="0.2">
      <c r="A544" s="4">
        <v>44986</v>
      </c>
      <c r="G544" s="1">
        <v>124700</v>
      </c>
    </row>
    <row r="545" spans="1:7" x14ac:dyDescent="0.2">
      <c r="A545" s="4">
        <v>45017</v>
      </c>
      <c r="G545" s="1">
        <v>125000</v>
      </c>
    </row>
    <row r="546" spans="1:7" x14ac:dyDescent="0.2">
      <c r="A546" s="4">
        <v>45047</v>
      </c>
      <c r="G546" s="1">
        <v>129900</v>
      </c>
    </row>
    <row r="547" spans="1:7" x14ac:dyDescent="0.2">
      <c r="A547" s="4">
        <v>45078</v>
      </c>
      <c r="G547" s="1">
        <v>121400</v>
      </c>
    </row>
    <row r="548" spans="1:7" x14ac:dyDescent="0.2">
      <c r="A548" s="4">
        <v>45108</v>
      </c>
      <c r="G548" s="1">
        <v>118000</v>
      </c>
    </row>
    <row r="549" spans="1:7" x14ac:dyDescent="0.2">
      <c r="A549" s="4">
        <v>45139</v>
      </c>
      <c r="G549" s="1">
        <v>128800</v>
      </c>
    </row>
    <row r="550" spans="1:7" x14ac:dyDescent="0.2">
      <c r="A550" s="4">
        <v>45170</v>
      </c>
      <c r="G550" s="1">
        <v>119700</v>
      </c>
    </row>
    <row r="551" spans="1:7" x14ac:dyDescent="0.2">
      <c r="A551" s="4">
        <v>45200</v>
      </c>
      <c r="G551" s="1">
        <v>120000</v>
      </c>
    </row>
    <row r="552" spans="1:7" x14ac:dyDescent="0.2">
      <c r="A552" s="4">
        <v>45231</v>
      </c>
      <c r="G552" s="1">
        <v>126600</v>
      </c>
    </row>
    <row r="553" spans="1:7" x14ac:dyDescent="0.2">
      <c r="A553" s="4">
        <v>45261</v>
      </c>
      <c r="G553" s="1">
        <v>121300</v>
      </c>
    </row>
    <row r="554" spans="1:7" x14ac:dyDescent="0.2">
      <c r="A554" s="4">
        <v>45292</v>
      </c>
      <c r="G554" s="1">
        <v>119200</v>
      </c>
    </row>
    <row r="555" spans="1:7" x14ac:dyDescent="0.2">
      <c r="A555" s="4">
        <v>45323</v>
      </c>
      <c r="G555" s="1">
        <v>121600</v>
      </c>
    </row>
    <row r="556" spans="1:7" x14ac:dyDescent="0.2">
      <c r="A556" s="4">
        <v>45352</v>
      </c>
      <c r="G556" s="1">
        <v>118800</v>
      </c>
    </row>
    <row r="557" spans="1:7" x14ac:dyDescent="0.2">
      <c r="A557" s="4">
        <v>45383</v>
      </c>
      <c r="G557" s="1">
        <v>125000</v>
      </c>
    </row>
    <row r="558" spans="1:7" x14ac:dyDescent="0.2">
      <c r="A558" s="4">
        <v>45413</v>
      </c>
      <c r="G558" s="1">
        <v>121000</v>
      </c>
    </row>
    <row r="559" spans="1:7" x14ac:dyDescent="0.2">
      <c r="A559" s="4">
        <v>45444</v>
      </c>
      <c r="G559" s="1">
        <v>121900</v>
      </c>
    </row>
    <row r="560" spans="1:7" x14ac:dyDescent="0.2">
      <c r="A560" s="4">
        <v>45474</v>
      </c>
      <c r="G560" s="1">
        <v>125100</v>
      </c>
    </row>
    <row r="561" spans="1:7" x14ac:dyDescent="0.2">
      <c r="A561" s="4">
        <v>45505</v>
      </c>
      <c r="G561" s="1">
        <v>127800</v>
      </c>
    </row>
    <row r="562" spans="1:7" x14ac:dyDescent="0.2">
      <c r="A562" s="4">
        <v>45536</v>
      </c>
      <c r="G562" s="1">
        <v>125200</v>
      </c>
    </row>
    <row r="563" spans="1:7" x14ac:dyDescent="0.2">
      <c r="A563" s="4">
        <v>45566</v>
      </c>
      <c r="G563" s="1">
        <v>125800</v>
      </c>
    </row>
    <row r="564" spans="1:7" x14ac:dyDescent="0.2">
      <c r="A564" s="4">
        <v>45597</v>
      </c>
      <c r="G564" s="1">
        <v>122700</v>
      </c>
    </row>
    <row r="565" spans="1:7" x14ac:dyDescent="0.2">
      <c r="A565" s="4">
        <v>45627</v>
      </c>
      <c r="G565" s="1">
        <v>121700</v>
      </c>
    </row>
    <row r="566" spans="1:7" x14ac:dyDescent="0.2">
      <c r="A566" s="4">
        <v>45658</v>
      </c>
      <c r="G566" s="1">
        <v>120900</v>
      </c>
    </row>
    <row r="567" spans="1:7" x14ac:dyDescent="0.2">
      <c r="A567" s="4">
        <v>45689</v>
      </c>
      <c r="G567" s="1">
        <v>120400</v>
      </c>
    </row>
    <row r="568" spans="1:7" x14ac:dyDescent="0.2">
      <c r="A568" s="4">
        <v>45717</v>
      </c>
      <c r="G568" s="1">
        <v>124500</v>
      </c>
    </row>
    <row r="569" spans="1:7" x14ac:dyDescent="0.2">
      <c r="A569" s="4">
        <v>45748</v>
      </c>
      <c r="G569" s="1">
        <v>124800</v>
      </c>
    </row>
    <row r="570" spans="1:7" x14ac:dyDescent="0.2">
      <c r="A570" s="4">
        <v>45778</v>
      </c>
      <c r="G570" s="1">
        <v>126800</v>
      </c>
    </row>
    <row r="571" spans="1:7" x14ac:dyDescent="0.2">
      <c r="A571" s="4">
        <v>45809</v>
      </c>
      <c r="G571" s="1">
        <v>125100</v>
      </c>
    </row>
    <row r="572" spans="1:7" x14ac:dyDescent="0.2">
      <c r="A572" s="4">
        <v>45839</v>
      </c>
      <c r="G572" s="1">
        <v>123900</v>
      </c>
    </row>
    <row r="573" spans="1:7" x14ac:dyDescent="0.2">
      <c r="A573" s="4">
        <v>45870</v>
      </c>
      <c r="G573" s="1">
        <v>130200</v>
      </c>
    </row>
    <row r="574" spans="1:7" x14ac:dyDescent="0.2">
      <c r="A574" s="4">
        <v>45901</v>
      </c>
      <c r="G574" s="1">
        <v>134600</v>
      </c>
    </row>
    <row r="575" spans="1:7" x14ac:dyDescent="0.2">
      <c r="A575" s="4">
        <v>45931</v>
      </c>
      <c r="G575" s="1">
        <v>131500</v>
      </c>
    </row>
    <row r="576" spans="1:7" x14ac:dyDescent="0.2">
      <c r="A576" s="4">
        <v>45962</v>
      </c>
      <c r="G576" s="1">
        <v>131200</v>
      </c>
    </row>
    <row r="577" spans="1:7" x14ac:dyDescent="0.2">
      <c r="A577" s="4">
        <v>45992</v>
      </c>
      <c r="G577" s="1">
        <v>134500</v>
      </c>
    </row>
    <row r="578" spans="1:7" x14ac:dyDescent="0.2">
      <c r="A578" s="4">
        <v>46023</v>
      </c>
      <c r="G578" s="1">
        <v>131700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workbookViewId="0">
      <pane ySplit="1" topLeftCell="A29" activePane="bottomLeft" state="frozen"/>
      <selection pane="bottomLeft" activeCell="A2" sqref="A2"/>
    </sheetView>
  </sheetViews>
  <sheetFormatPr defaultColWidth="9.28515625" defaultRowHeight="14.25" x14ac:dyDescent="0.2"/>
  <cols>
    <col min="1" max="16384" width="9.28515625" style="90"/>
  </cols>
  <sheetData>
    <row r="1" spans="1:7" x14ac:dyDescent="0.2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56</v>
      </c>
    </row>
    <row r="2" spans="1:7" x14ac:dyDescent="0.2">
      <c r="A2" s="90">
        <v>1978</v>
      </c>
      <c r="B2" s="90">
        <v>279.89999999999998</v>
      </c>
      <c r="C2" s="90">
        <v>17.399999999999999</v>
      </c>
      <c r="D2" s="90">
        <v>49.5</v>
      </c>
      <c r="E2" s="90">
        <v>135.30000000000001</v>
      </c>
      <c r="F2" s="90">
        <v>77.7</v>
      </c>
      <c r="G2" s="90">
        <v>15900</v>
      </c>
    </row>
    <row r="3" spans="1:7" x14ac:dyDescent="0.2">
      <c r="A3" s="90">
        <v>1979</v>
      </c>
      <c r="B3" s="90">
        <v>279.89999999999998</v>
      </c>
      <c r="C3" s="90">
        <v>16.899999999999999</v>
      </c>
      <c r="D3" s="90">
        <v>47.3</v>
      </c>
      <c r="E3" s="90">
        <v>145.19999999999999</v>
      </c>
      <c r="F3" s="90">
        <v>70.5</v>
      </c>
      <c r="G3" s="90">
        <v>17600</v>
      </c>
    </row>
    <row r="4" spans="1:7" x14ac:dyDescent="0.2">
      <c r="A4" s="90">
        <v>1980</v>
      </c>
      <c r="B4" s="90">
        <v>233.7</v>
      </c>
      <c r="C4" s="90">
        <v>12.3</v>
      </c>
      <c r="D4" s="90">
        <v>32.299999999999997</v>
      </c>
      <c r="E4" s="90">
        <v>140.30000000000001</v>
      </c>
      <c r="F4" s="90">
        <v>48.7</v>
      </c>
      <c r="G4" s="90">
        <v>19800</v>
      </c>
    </row>
    <row r="5" spans="1:7" x14ac:dyDescent="0.2">
      <c r="A5" s="90">
        <v>1981</v>
      </c>
      <c r="B5" s="90">
        <v>229.2</v>
      </c>
      <c r="C5" s="90">
        <v>12</v>
      </c>
      <c r="D5" s="90">
        <v>30.1</v>
      </c>
      <c r="E5" s="90">
        <v>143.5</v>
      </c>
      <c r="F5" s="90">
        <v>43.6</v>
      </c>
      <c r="G5" s="90">
        <v>19900</v>
      </c>
    </row>
    <row r="6" spans="1:7" x14ac:dyDescent="0.2">
      <c r="A6" s="90">
        <v>1982</v>
      </c>
      <c r="B6" s="90">
        <v>234.1</v>
      </c>
      <c r="C6" s="90">
        <v>12.4</v>
      </c>
      <c r="D6" s="90">
        <v>25.6</v>
      </c>
      <c r="E6" s="90">
        <v>161.1</v>
      </c>
      <c r="F6" s="90">
        <v>35</v>
      </c>
      <c r="G6" s="90">
        <v>19700</v>
      </c>
    </row>
    <row r="7" spans="1:7" x14ac:dyDescent="0.2">
      <c r="A7" s="90">
        <v>1983</v>
      </c>
      <c r="B7" s="90">
        <v>278.10000000000002</v>
      </c>
      <c r="C7" s="90">
        <v>16.3</v>
      </c>
      <c r="D7" s="90">
        <v>34.299999999999997</v>
      </c>
      <c r="E7" s="90">
        <v>186</v>
      </c>
      <c r="F7" s="90">
        <v>41.4</v>
      </c>
      <c r="G7" s="90">
        <v>21000</v>
      </c>
    </row>
    <row r="8" spans="1:7" x14ac:dyDescent="0.2">
      <c r="A8" s="90">
        <v>1984</v>
      </c>
      <c r="B8" s="90">
        <v>287.89999999999998</v>
      </c>
      <c r="C8" s="90">
        <v>19.8</v>
      </c>
      <c r="D8" s="90">
        <v>35.200000000000003</v>
      </c>
      <c r="E8" s="90">
        <v>193.4</v>
      </c>
      <c r="F8" s="90">
        <v>39.4</v>
      </c>
      <c r="G8" s="90">
        <v>21500</v>
      </c>
    </row>
    <row r="9" spans="1:7" x14ac:dyDescent="0.2">
      <c r="A9" s="90">
        <v>1985</v>
      </c>
      <c r="B9" s="90">
        <v>283.39999999999998</v>
      </c>
      <c r="C9" s="90">
        <v>20.2</v>
      </c>
      <c r="D9" s="90">
        <v>38.6</v>
      </c>
      <c r="E9" s="90">
        <v>187.6</v>
      </c>
      <c r="F9" s="90">
        <v>36.9</v>
      </c>
      <c r="G9" s="90">
        <v>21800</v>
      </c>
    </row>
    <row r="10" spans="1:7" x14ac:dyDescent="0.2">
      <c r="A10" s="90">
        <v>1986</v>
      </c>
      <c r="B10" s="90">
        <v>256.10000000000002</v>
      </c>
      <c r="C10" s="90">
        <v>21.2</v>
      </c>
      <c r="D10" s="90">
        <v>37.200000000000003</v>
      </c>
      <c r="E10" s="90">
        <v>162.30000000000001</v>
      </c>
      <c r="F10" s="90">
        <v>35.4</v>
      </c>
      <c r="G10" s="90">
        <v>22400</v>
      </c>
    </row>
    <row r="11" spans="1:7" x14ac:dyDescent="0.2">
      <c r="A11" s="90">
        <v>1987</v>
      </c>
      <c r="B11" s="90">
        <v>239.2</v>
      </c>
      <c r="C11" s="90">
        <v>23.6</v>
      </c>
      <c r="D11" s="90">
        <v>40</v>
      </c>
      <c r="E11" s="90">
        <v>145.5</v>
      </c>
      <c r="F11" s="90">
        <v>30.1</v>
      </c>
      <c r="G11" s="90">
        <v>23700</v>
      </c>
    </row>
    <row r="12" spans="1:7" x14ac:dyDescent="0.2">
      <c r="A12" s="90">
        <v>1988</v>
      </c>
      <c r="B12" s="90">
        <v>224.3</v>
      </c>
      <c r="C12" s="90">
        <v>22.7</v>
      </c>
      <c r="D12" s="90">
        <v>39.1</v>
      </c>
      <c r="E12" s="90">
        <v>130.69999999999999</v>
      </c>
      <c r="F12" s="90">
        <v>31.8</v>
      </c>
      <c r="G12" s="90">
        <v>25100</v>
      </c>
    </row>
    <row r="13" spans="1:7" x14ac:dyDescent="0.2">
      <c r="A13" s="90">
        <v>1989</v>
      </c>
      <c r="B13" s="90">
        <v>202.8</v>
      </c>
      <c r="C13" s="90">
        <v>20.2</v>
      </c>
      <c r="D13" s="90">
        <v>39.1</v>
      </c>
      <c r="E13" s="90">
        <v>112.8</v>
      </c>
      <c r="F13" s="90">
        <v>30.6</v>
      </c>
      <c r="G13" s="90">
        <v>27200</v>
      </c>
    </row>
    <row r="14" spans="1:7" x14ac:dyDescent="0.2">
      <c r="A14" s="90">
        <v>1990</v>
      </c>
      <c r="B14" s="90">
        <v>195.4</v>
      </c>
      <c r="C14" s="90">
        <v>18.8</v>
      </c>
      <c r="D14" s="90">
        <v>37.700000000000003</v>
      </c>
      <c r="E14" s="90">
        <v>108.4</v>
      </c>
      <c r="F14" s="90">
        <v>30.6</v>
      </c>
      <c r="G14" s="90">
        <v>27800</v>
      </c>
    </row>
    <row r="15" spans="1:7" x14ac:dyDescent="0.2">
      <c r="A15" s="90">
        <v>1991</v>
      </c>
      <c r="B15" s="90">
        <v>174.3</v>
      </c>
      <c r="C15" s="90">
        <v>14.3</v>
      </c>
      <c r="D15" s="90">
        <v>35.4</v>
      </c>
      <c r="E15" s="90">
        <v>97.6</v>
      </c>
      <c r="F15" s="90">
        <v>27</v>
      </c>
      <c r="G15" s="90">
        <v>27700</v>
      </c>
    </row>
    <row r="16" spans="1:7" x14ac:dyDescent="0.2">
      <c r="A16" s="90">
        <v>1992</v>
      </c>
      <c r="B16" s="90">
        <v>212</v>
      </c>
      <c r="C16" s="90">
        <v>15</v>
      </c>
      <c r="D16" s="90">
        <v>42.2</v>
      </c>
      <c r="E16" s="90">
        <v>124.4</v>
      </c>
      <c r="F16" s="90">
        <v>30.4</v>
      </c>
      <c r="G16" s="90">
        <v>28400</v>
      </c>
    </row>
    <row r="17" spans="1:14" x14ac:dyDescent="0.2">
      <c r="A17" s="90">
        <v>1993</v>
      </c>
      <c r="B17" s="90">
        <v>242.5</v>
      </c>
      <c r="C17" s="90">
        <v>15.4</v>
      </c>
      <c r="D17" s="90">
        <v>44.5</v>
      </c>
      <c r="E17" s="90">
        <v>146.69999999999999</v>
      </c>
      <c r="F17" s="90">
        <v>35.9</v>
      </c>
      <c r="G17" s="90">
        <v>30500</v>
      </c>
    </row>
    <row r="18" spans="1:14" x14ac:dyDescent="0.2">
      <c r="A18" s="90">
        <v>1994</v>
      </c>
      <c r="B18" s="90">
        <v>290.89999999999998</v>
      </c>
      <c r="C18" s="90">
        <v>16.3</v>
      </c>
      <c r="D18" s="90">
        <v>53.3</v>
      </c>
      <c r="E18" s="90">
        <v>177.7</v>
      </c>
      <c r="F18" s="90">
        <v>43.6</v>
      </c>
      <c r="G18" s="90">
        <v>32800</v>
      </c>
    </row>
    <row r="19" spans="1:14" x14ac:dyDescent="0.2">
      <c r="A19" s="90">
        <v>1995</v>
      </c>
      <c r="B19" s="90">
        <v>319.39999999999998</v>
      </c>
      <c r="C19" s="90">
        <v>15</v>
      </c>
      <c r="D19" s="90">
        <v>57.5</v>
      </c>
      <c r="E19" s="90">
        <v>203.2</v>
      </c>
      <c r="F19" s="90">
        <v>43.7</v>
      </c>
      <c r="G19" s="90">
        <v>35300</v>
      </c>
    </row>
    <row r="20" spans="1:14" x14ac:dyDescent="0.2">
      <c r="A20" s="90">
        <v>1996</v>
      </c>
      <c r="B20" s="90">
        <v>337.7</v>
      </c>
      <c r="C20" s="90">
        <v>16.2</v>
      </c>
      <c r="D20" s="90">
        <v>58.8</v>
      </c>
      <c r="E20" s="90">
        <v>218.2</v>
      </c>
      <c r="F20" s="90">
        <v>44.4</v>
      </c>
      <c r="G20" s="90">
        <v>37200</v>
      </c>
    </row>
    <row r="21" spans="1:14" x14ac:dyDescent="0.2">
      <c r="A21" s="90">
        <v>1997</v>
      </c>
      <c r="B21" s="90">
        <v>336.3</v>
      </c>
      <c r="C21" s="90">
        <v>14.3</v>
      </c>
      <c r="D21" s="90">
        <v>55.3</v>
      </c>
      <c r="E21" s="90">
        <v>219.4</v>
      </c>
      <c r="F21" s="90">
        <v>47.3</v>
      </c>
      <c r="G21" s="90">
        <v>39800</v>
      </c>
    </row>
    <row r="22" spans="1:14" x14ac:dyDescent="0.2">
      <c r="A22" s="90">
        <v>1998</v>
      </c>
      <c r="B22" s="90">
        <v>373.7</v>
      </c>
      <c r="C22" s="90">
        <v>14.7</v>
      </c>
      <c r="D22" s="90">
        <v>58.3</v>
      </c>
      <c r="E22" s="90">
        <v>250.3</v>
      </c>
      <c r="F22" s="90">
        <v>50.4</v>
      </c>
      <c r="G22" s="90">
        <v>41600</v>
      </c>
    </row>
    <row r="23" spans="1:14" x14ac:dyDescent="0.2">
      <c r="A23" s="90">
        <v>1999</v>
      </c>
      <c r="B23" s="90">
        <v>338.3</v>
      </c>
      <c r="C23" s="90">
        <v>14.1</v>
      </c>
      <c r="D23" s="90">
        <v>53.6</v>
      </c>
      <c r="E23" s="90">
        <v>227.2</v>
      </c>
      <c r="F23" s="90">
        <v>43.5</v>
      </c>
      <c r="G23" s="90">
        <v>43300</v>
      </c>
    </row>
    <row r="24" spans="1:14" x14ac:dyDescent="0.2">
      <c r="A24" s="90">
        <v>2000</v>
      </c>
      <c r="B24" s="90">
        <v>280.89999999999998</v>
      </c>
      <c r="C24" s="90">
        <v>14.9</v>
      </c>
      <c r="D24" s="90">
        <v>48.7</v>
      </c>
      <c r="E24" s="90">
        <v>178.7</v>
      </c>
      <c r="F24" s="90">
        <v>38.6</v>
      </c>
      <c r="G24" s="90">
        <v>46400</v>
      </c>
    </row>
    <row r="25" spans="1:14" x14ac:dyDescent="0.2">
      <c r="A25" s="90">
        <v>2001</v>
      </c>
      <c r="B25" s="90">
        <v>196.2</v>
      </c>
      <c r="C25" s="90">
        <v>12.2</v>
      </c>
      <c r="D25" s="90">
        <v>37.6</v>
      </c>
      <c r="E25" s="90">
        <v>116.4</v>
      </c>
      <c r="F25" s="90">
        <v>30</v>
      </c>
      <c r="G25" s="90">
        <v>48900</v>
      </c>
      <c r="I25" s="94"/>
    </row>
    <row r="26" spans="1:14" x14ac:dyDescent="0.2">
      <c r="A26" s="90">
        <v>2002</v>
      </c>
      <c r="B26" s="90">
        <v>174.3</v>
      </c>
      <c r="C26" s="90">
        <v>11.8</v>
      </c>
      <c r="D26" s="90">
        <v>34.200000000000003</v>
      </c>
      <c r="E26" s="90">
        <v>101</v>
      </c>
      <c r="F26" s="90">
        <v>27.2</v>
      </c>
      <c r="G26" s="90">
        <v>51300</v>
      </c>
      <c r="I26" s="95"/>
      <c r="J26" s="95"/>
      <c r="K26" s="95"/>
      <c r="L26" s="95"/>
      <c r="M26" s="95"/>
      <c r="N26" s="94"/>
    </row>
    <row r="27" spans="1:14" x14ac:dyDescent="0.2">
      <c r="A27" s="90">
        <v>2003</v>
      </c>
      <c r="B27" s="90">
        <v>139.80000000000001</v>
      </c>
      <c r="C27" s="90">
        <v>11.2</v>
      </c>
      <c r="D27" s="90">
        <v>25.2</v>
      </c>
      <c r="E27" s="90">
        <v>77.2</v>
      </c>
      <c r="F27" s="90">
        <v>26.1</v>
      </c>
      <c r="G27" s="90">
        <v>54900</v>
      </c>
      <c r="I27" s="95"/>
      <c r="J27" s="95"/>
      <c r="K27" s="95"/>
      <c r="L27" s="95"/>
      <c r="M27" s="95"/>
      <c r="N27" s="94"/>
    </row>
    <row r="28" spans="1:14" x14ac:dyDescent="0.2">
      <c r="A28" s="90">
        <v>2004</v>
      </c>
      <c r="B28" s="90">
        <v>124.4</v>
      </c>
      <c r="C28" s="90">
        <v>11</v>
      </c>
      <c r="D28" s="90">
        <v>20.6</v>
      </c>
      <c r="E28" s="90">
        <v>67.400000000000006</v>
      </c>
      <c r="F28" s="90">
        <v>25.5</v>
      </c>
      <c r="G28" s="90">
        <v>58200</v>
      </c>
      <c r="I28" s="95"/>
      <c r="J28" s="95"/>
      <c r="K28" s="95"/>
      <c r="L28" s="95"/>
      <c r="M28" s="95"/>
      <c r="N28" s="94"/>
    </row>
    <row r="29" spans="1:14" x14ac:dyDescent="0.2">
      <c r="A29" s="90">
        <v>2005</v>
      </c>
      <c r="B29" s="90">
        <v>122.9</v>
      </c>
      <c r="C29" s="90">
        <v>9.1999999999999993</v>
      </c>
      <c r="D29" s="90">
        <v>17.100000000000001</v>
      </c>
      <c r="E29" s="90">
        <v>68.099999999999994</v>
      </c>
      <c r="F29" s="90">
        <v>28.5</v>
      </c>
      <c r="G29" s="90">
        <v>62600</v>
      </c>
      <c r="I29" s="95"/>
      <c r="J29" s="95"/>
      <c r="K29" s="95"/>
      <c r="L29" s="95"/>
      <c r="M29" s="95"/>
      <c r="N29" s="96"/>
    </row>
    <row r="30" spans="1:14" x14ac:dyDescent="0.2">
      <c r="A30" s="90">
        <v>2006</v>
      </c>
      <c r="B30" s="90">
        <v>112.4</v>
      </c>
      <c r="C30" s="90">
        <v>7.9</v>
      </c>
      <c r="D30" s="90">
        <v>14.5</v>
      </c>
      <c r="E30" s="90">
        <v>66.099999999999994</v>
      </c>
      <c r="F30" s="90">
        <v>23.9</v>
      </c>
      <c r="G30" s="90">
        <v>64300</v>
      </c>
      <c r="I30" s="95"/>
      <c r="J30" s="95"/>
      <c r="K30" s="95"/>
      <c r="L30" s="95"/>
      <c r="M30" s="95"/>
      <c r="N30" s="94"/>
    </row>
    <row r="31" spans="1:14" x14ac:dyDescent="0.2">
      <c r="A31" s="90">
        <v>2007</v>
      </c>
      <c r="B31" s="90">
        <v>94.8</v>
      </c>
      <c r="C31" s="90">
        <v>7</v>
      </c>
      <c r="D31" s="90">
        <v>10.8</v>
      </c>
      <c r="E31" s="90">
        <v>59.4</v>
      </c>
      <c r="F31" s="90">
        <v>17.7</v>
      </c>
      <c r="G31" s="90">
        <v>65400</v>
      </c>
      <c r="I31" s="95"/>
      <c r="J31" s="95"/>
      <c r="K31" s="95"/>
      <c r="L31" s="95"/>
      <c r="M31" s="95"/>
      <c r="N31" s="94"/>
    </row>
    <row r="32" spans="1:14" x14ac:dyDescent="0.2">
      <c r="A32" s="90">
        <v>2008</v>
      </c>
      <c r="B32" s="90">
        <v>80.5</v>
      </c>
      <c r="C32" s="90">
        <v>5</v>
      </c>
      <c r="D32" s="90">
        <v>8.1999999999999993</v>
      </c>
      <c r="E32" s="90">
        <v>54</v>
      </c>
      <c r="F32" s="90">
        <v>13.3</v>
      </c>
      <c r="G32" s="90">
        <v>64700</v>
      </c>
      <c r="I32" s="95"/>
      <c r="J32" s="95"/>
      <c r="K32" s="95"/>
      <c r="L32" s="95"/>
      <c r="M32" s="95"/>
      <c r="N32" s="94"/>
    </row>
    <row r="33" spans="1:14" x14ac:dyDescent="0.2">
      <c r="A33" s="90">
        <v>2009</v>
      </c>
      <c r="B33" s="90">
        <v>54.5</v>
      </c>
      <c r="C33" s="90">
        <v>3.5</v>
      </c>
      <c r="D33" s="90">
        <v>5.3</v>
      </c>
      <c r="E33" s="90">
        <v>37.799999999999997</v>
      </c>
      <c r="F33" s="90">
        <v>7.9</v>
      </c>
      <c r="G33" s="90">
        <v>63100</v>
      </c>
      <c r="I33" s="95"/>
      <c r="J33" s="95"/>
      <c r="K33" s="95"/>
      <c r="L33" s="95"/>
      <c r="M33" s="95"/>
      <c r="N33" s="94"/>
    </row>
    <row r="34" spans="1:14" x14ac:dyDescent="0.2">
      <c r="A34" s="90">
        <v>2010</v>
      </c>
      <c r="B34" s="90">
        <v>50.7</v>
      </c>
      <c r="C34" s="90">
        <v>3.8</v>
      </c>
      <c r="D34" s="90">
        <v>5.8</v>
      </c>
      <c r="E34" s="90">
        <v>34.6</v>
      </c>
      <c r="F34" s="90">
        <v>6.6</v>
      </c>
      <c r="G34" s="90">
        <v>62800</v>
      </c>
      <c r="H34" s="94"/>
      <c r="I34" s="94"/>
      <c r="J34" s="95"/>
      <c r="K34" s="95"/>
      <c r="L34" s="95"/>
      <c r="M34" s="95"/>
      <c r="N34" s="94"/>
    </row>
    <row r="35" spans="1:14" x14ac:dyDescent="0.2">
      <c r="A35" s="90">
        <v>2011</v>
      </c>
      <c r="B35" s="90">
        <v>47.6</v>
      </c>
      <c r="C35" s="90">
        <v>3.3</v>
      </c>
      <c r="D35" s="90">
        <v>6.3</v>
      </c>
      <c r="E35" s="90">
        <v>31.5</v>
      </c>
      <c r="F35" s="90">
        <v>6.5</v>
      </c>
      <c r="G35" s="90">
        <v>60500</v>
      </c>
      <c r="H35" s="94"/>
      <c r="I35" s="94"/>
      <c r="J35" s="95"/>
      <c r="K35" s="95"/>
      <c r="L35" s="95"/>
      <c r="M35" s="95"/>
      <c r="N35" s="94"/>
    </row>
    <row r="36" spans="1:14" x14ac:dyDescent="0.2">
      <c r="A36" s="90">
        <v>2012</v>
      </c>
      <c r="B36" s="90">
        <v>52.8</v>
      </c>
      <c r="C36" s="90">
        <v>3.9</v>
      </c>
      <c r="D36" s="90">
        <v>7.9</v>
      </c>
      <c r="E36" s="90">
        <v>34.4</v>
      </c>
      <c r="F36" s="90">
        <v>6.6</v>
      </c>
      <c r="G36" s="90">
        <v>62200</v>
      </c>
      <c r="H36" s="94"/>
      <c r="I36" s="94"/>
      <c r="J36" s="95"/>
      <c r="K36" s="95"/>
      <c r="L36" s="95"/>
      <c r="M36" s="95"/>
      <c r="N36" s="94"/>
    </row>
    <row r="37" spans="1:14" x14ac:dyDescent="0.2">
      <c r="A37" s="90">
        <v>2013</v>
      </c>
      <c r="B37" s="90">
        <v>56.3</v>
      </c>
      <c r="C37" s="90">
        <v>4</v>
      </c>
      <c r="D37" s="90">
        <v>7.5</v>
      </c>
      <c r="E37" s="90">
        <v>37.4</v>
      </c>
      <c r="F37" s="90">
        <v>7.5</v>
      </c>
      <c r="G37" s="90">
        <v>64000</v>
      </c>
      <c r="H37" s="94"/>
      <c r="I37" s="94"/>
      <c r="N37" s="94"/>
    </row>
    <row r="38" spans="1:14" x14ac:dyDescent="0.2">
      <c r="A38" s="90">
        <v>2014</v>
      </c>
      <c r="G38" s="90">
        <v>65300</v>
      </c>
    </row>
    <row r="39" spans="1:14" x14ac:dyDescent="0.2">
      <c r="A39" s="90">
        <v>2015</v>
      </c>
      <c r="G39" s="90">
        <v>68000</v>
      </c>
    </row>
    <row r="40" spans="1:14" x14ac:dyDescent="0.2">
      <c r="A40" s="90">
        <v>2016</v>
      </c>
      <c r="G40" s="90">
        <v>70600</v>
      </c>
    </row>
    <row r="41" spans="1:14" x14ac:dyDescent="0.2">
      <c r="A41" s="90">
        <v>2017</v>
      </c>
      <c r="G41" s="90">
        <v>71900</v>
      </c>
    </row>
    <row r="42" spans="1:14" x14ac:dyDescent="0.2">
      <c r="A42" s="90">
        <v>2018</v>
      </c>
      <c r="G42" s="90">
        <v>78500</v>
      </c>
    </row>
    <row r="43" spans="1:14" x14ac:dyDescent="0.2">
      <c r="A43" s="90">
        <v>2019</v>
      </c>
      <c r="G43" s="90">
        <v>81900</v>
      </c>
    </row>
    <row r="44" spans="1:14" x14ac:dyDescent="0.2">
      <c r="A44" s="90">
        <v>2020</v>
      </c>
      <c r="G44" s="90">
        <v>87000</v>
      </c>
    </row>
    <row r="45" spans="1:14" x14ac:dyDescent="0.2">
      <c r="A45" s="90">
        <v>2021</v>
      </c>
      <c r="G45" s="90">
        <v>108417</v>
      </c>
    </row>
    <row r="46" spans="1:14" x14ac:dyDescent="0.2">
      <c r="A46" s="90">
        <v>2022</v>
      </c>
      <c r="G46" s="90">
        <v>127250</v>
      </c>
    </row>
    <row r="47" spans="1:14" x14ac:dyDescent="0.2">
      <c r="A47" s="90">
        <v>2023</v>
      </c>
      <c r="G47" s="90">
        <v>124133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34"/>
  <sheetViews>
    <sheetView zoomScaleNormal="100" workbookViewId="0">
      <pane ySplit="1" topLeftCell="A225" activePane="bottomLeft" state="frozen"/>
      <selection pane="bottomLeft" activeCell="I233" sqref="I233"/>
    </sheetView>
  </sheetViews>
  <sheetFormatPr defaultColWidth="9.28515625" defaultRowHeight="14.25" x14ac:dyDescent="0.2"/>
  <cols>
    <col min="1" max="1" width="12.28515625" style="1" customWidth="1"/>
    <col min="2" max="2" width="14" style="140" customWidth="1"/>
    <col min="3" max="3" width="12" style="140" customWidth="1"/>
    <col min="4" max="4" width="11.28515625" style="140" customWidth="1"/>
    <col min="5" max="5" width="12" style="140" customWidth="1"/>
    <col min="6" max="8" width="9.28515625" style="1"/>
    <col min="9" max="9" width="11.5703125" style="1" customWidth="1"/>
    <col min="10" max="16384" width="9.28515625" style="1"/>
  </cols>
  <sheetData>
    <row r="1" spans="1:5" x14ac:dyDescent="0.2">
      <c r="A1" s="1" t="s">
        <v>6</v>
      </c>
      <c r="B1" s="52" t="s">
        <v>119</v>
      </c>
      <c r="C1" s="52" t="s">
        <v>120</v>
      </c>
      <c r="D1" s="52" t="s">
        <v>121</v>
      </c>
      <c r="E1" s="52" t="s">
        <v>122</v>
      </c>
    </row>
    <row r="2" spans="1:5" x14ac:dyDescent="0.2">
      <c r="A2" s="138">
        <v>39083</v>
      </c>
      <c r="B2" s="1">
        <v>35</v>
      </c>
      <c r="C2" s="1">
        <v>36</v>
      </c>
      <c r="D2" s="1">
        <v>48</v>
      </c>
      <c r="E2" s="1">
        <v>26</v>
      </c>
    </row>
    <row r="3" spans="1:5" x14ac:dyDescent="0.2">
      <c r="A3" s="138">
        <v>39114</v>
      </c>
      <c r="B3" s="1">
        <v>39</v>
      </c>
      <c r="C3" s="1">
        <v>40</v>
      </c>
      <c r="D3" s="1">
        <v>53</v>
      </c>
      <c r="E3" s="1">
        <v>29</v>
      </c>
    </row>
    <row r="4" spans="1:5" x14ac:dyDescent="0.2">
      <c r="A4" s="138">
        <v>39142</v>
      </c>
      <c r="B4" s="1">
        <v>36</v>
      </c>
      <c r="C4" s="1">
        <v>36</v>
      </c>
      <c r="D4" s="1">
        <v>50</v>
      </c>
      <c r="E4" s="1">
        <v>28</v>
      </c>
    </row>
    <row r="5" spans="1:5" x14ac:dyDescent="0.2">
      <c r="A5" s="138">
        <v>39173</v>
      </c>
      <c r="B5" s="1">
        <v>33</v>
      </c>
      <c r="C5" s="1">
        <v>33</v>
      </c>
      <c r="D5" s="1">
        <v>44</v>
      </c>
      <c r="E5" s="1">
        <v>27</v>
      </c>
    </row>
    <row r="6" spans="1:5" x14ac:dyDescent="0.2">
      <c r="A6" s="138">
        <v>39203</v>
      </c>
      <c r="B6" s="1">
        <v>30</v>
      </c>
      <c r="C6" s="1">
        <v>31</v>
      </c>
      <c r="D6" s="1">
        <v>41</v>
      </c>
      <c r="E6" s="1">
        <v>22</v>
      </c>
    </row>
    <row r="7" spans="1:5" x14ac:dyDescent="0.2">
      <c r="A7" s="138">
        <v>39234</v>
      </c>
      <c r="B7" s="1">
        <v>28</v>
      </c>
      <c r="C7" s="1">
        <v>29</v>
      </c>
      <c r="D7" s="1">
        <v>39</v>
      </c>
      <c r="E7" s="1">
        <v>22</v>
      </c>
    </row>
    <row r="8" spans="1:5" x14ac:dyDescent="0.2">
      <c r="A8" s="138">
        <v>39264</v>
      </c>
      <c r="B8" s="1">
        <v>24</v>
      </c>
      <c r="C8" s="1">
        <v>24</v>
      </c>
      <c r="D8" s="1">
        <v>34</v>
      </c>
      <c r="E8" s="1">
        <v>19</v>
      </c>
    </row>
    <row r="9" spans="1:5" x14ac:dyDescent="0.2">
      <c r="A9" s="138">
        <v>39295</v>
      </c>
      <c r="B9" s="1">
        <v>22</v>
      </c>
      <c r="C9" s="1">
        <v>22</v>
      </c>
      <c r="D9" s="1">
        <v>31</v>
      </c>
      <c r="E9" s="1">
        <v>16</v>
      </c>
    </row>
    <row r="10" spans="1:5" x14ac:dyDescent="0.2">
      <c r="A10" s="138">
        <v>39326</v>
      </c>
      <c r="B10" s="1">
        <v>20</v>
      </c>
      <c r="C10" s="1">
        <v>20</v>
      </c>
      <c r="D10" s="1">
        <v>26</v>
      </c>
      <c r="E10" s="1">
        <v>17</v>
      </c>
    </row>
    <row r="11" spans="1:5" x14ac:dyDescent="0.2">
      <c r="A11" s="138">
        <v>39356</v>
      </c>
      <c r="B11" s="1">
        <v>19</v>
      </c>
      <c r="C11" s="1">
        <v>18</v>
      </c>
      <c r="D11" s="1">
        <v>26</v>
      </c>
      <c r="E11" s="1">
        <v>15</v>
      </c>
    </row>
    <row r="12" spans="1:5" x14ac:dyDescent="0.2">
      <c r="A12" s="138">
        <v>39387</v>
      </c>
      <c r="B12" s="1">
        <v>19</v>
      </c>
      <c r="C12" s="1">
        <v>18</v>
      </c>
      <c r="D12" s="1">
        <v>24</v>
      </c>
      <c r="E12" s="1">
        <v>17</v>
      </c>
    </row>
    <row r="13" spans="1:5" x14ac:dyDescent="0.2">
      <c r="A13" s="138">
        <v>39417</v>
      </c>
      <c r="B13" s="1">
        <v>18</v>
      </c>
      <c r="C13" s="1">
        <v>19</v>
      </c>
      <c r="D13" s="1">
        <v>26</v>
      </c>
      <c r="E13" s="1">
        <v>13</v>
      </c>
    </row>
    <row r="14" spans="1:5" x14ac:dyDescent="0.2">
      <c r="A14" s="138">
        <v>39448</v>
      </c>
      <c r="B14" s="1">
        <v>19</v>
      </c>
      <c r="C14" s="1">
        <v>19</v>
      </c>
      <c r="D14" s="1">
        <v>28</v>
      </c>
      <c r="E14" s="1">
        <v>14</v>
      </c>
    </row>
    <row r="15" spans="1:5" x14ac:dyDescent="0.2">
      <c r="A15" s="138">
        <v>39479</v>
      </c>
      <c r="B15" s="1">
        <v>20</v>
      </c>
      <c r="C15" s="1">
        <v>20</v>
      </c>
      <c r="D15" s="1">
        <v>27</v>
      </c>
      <c r="E15" s="1">
        <v>19</v>
      </c>
    </row>
    <row r="16" spans="1:5" x14ac:dyDescent="0.2">
      <c r="A16" s="138">
        <v>39508</v>
      </c>
      <c r="B16" s="1">
        <v>20</v>
      </c>
      <c r="C16" s="1">
        <v>20</v>
      </c>
      <c r="D16" s="1">
        <v>26</v>
      </c>
      <c r="E16" s="1">
        <v>19</v>
      </c>
    </row>
    <row r="17" spans="1:5" x14ac:dyDescent="0.2">
      <c r="A17" s="138">
        <v>39539</v>
      </c>
      <c r="B17" s="1">
        <v>20</v>
      </c>
      <c r="C17" s="1">
        <v>18</v>
      </c>
      <c r="D17" s="1">
        <v>30</v>
      </c>
      <c r="E17" s="1">
        <v>19</v>
      </c>
    </row>
    <row r="18" spans="1:5" x14ac:dyDescent="0.2">
      <c r="A18" s="138">
        <v>39569</v>
      </c>
      <c r="B18" s="1">
        <v>19</v>
      </c>
      <c r="C18" s="1">
        <v>17</v>
      </c>
      <c r="D18" s="1">
        <v>28</v>
      </c>
      <c r="E18" s="1">
        <v>18</v>
      </c>
    </row>
    <row r="19" spans="1:5" x14ac:dyDescent="0.2">
      <c r="A19" s="138">
        <v>39600</v>
      </c>
      <c r="B19" s="1">
        <v>18</v>
      </c>
      <c r="C19" s="1">
        <v>17</v>
      </c>
      <c r="D19" s="1">
        <v>27</v>
      </c>
      <c r="E19" s="1">
        <v>16</v>
      </c>
    </row>
    <row r="20" spans="1:5" x14ac:dyDescent="0.2">
      <c r="A20" s="138">
        <v>39630</v>
      </c>
      <c r="B20" s="1">
        <v>16</v>
      </c>
      <c r="C20" s="1">
        <v>15</v>
      </c>
      <c r="D20" s="1">
        <v>23</v>
      </c>
      <c r="E20" s="1">
        <v>12</v>
      </c>
    </row>
    <row r="21" spans="1:5" x14ac:dyDescent="0.2">
      <c r="A21" s="138">
        <v>39661</v>
      </c>
      <c r="B21" s="1">
        <v>16</v>
      </c>
      <c r="C21" s="1">
        <v>16</v>
      </c>
      <c r="D21" s="1">
        <v>24</v>
      </c>
      <c r="E21" s="1">
        <v>13</v>
      </c>
    </row>
    <row r="22" spans="1:5" x14ac:dyDescent="0.2">
      <c r="A22" s="138">
        <v>39692</v>
      </c>
      <c r="B22" s="1">
        <v>17</v>
      </c>
      <c r="C22" s="1">
        <v>17</v>
      </c>
      <c r="D22" s="1">
        <v>28</v>
      </c>
      <c r="E22" s="1">
        <v>14</v>
      </c>
    </row>
    <row r="23" spans="1:5" x14ac:dyDescent="0.2">
      <c r="A23" s="138">
        <v>39722</v>
      </c>
      <c r="B23" s="1">
        <v>14</v>
      </c>
      <c r="C23" s="1">
        <v>14</v>
      </c>
      <c r="D23" s="1">
        <v>19</v>
      </c>
      <c r="E23" s="1">
        <v>11</v>
      </c>
    </row>
    <row r="24" spans="1:5" x14ac:dyDescent="0.2">
      <c r="A24" s="138">
        <v>39753</v>
      </c>
      <c r="B24" s="1">
        <v>9</v>
      </c>
      <c r="C24" s="1">
        <v>9</v>
      </c>
      <c r="D24" s="1">
        <v>18</v>
      </c>
      <c r="E24" s="1">
        <v>7</v>
      </c>
    </row>
    <row r="25" spans="1:5" x14ac:dyDescent="0.2">
      <c r="A25" s="138">
        <v>39783</v>
      </c>
      <c r="B25" s="1">
        <v>9</v>
      </c>
      <c r="C25" s="1">
        <v>8</v>
      </c>
      <c r="D25" s="1">
        <v>16</v>
      </c>
      <c r="E25" s="1">
        <v>7</v>
      </c>
    </row>
    <row r="26" spans="1:5" x14ac:dyDescent="0.2">
      <c r="A26" s="138">
        <v>39814</v>
      </c>
      <c r="B26" s="1">
        <v>8</v>
      </c>
      <c r="C26" s="1">
        <v>6</v>
      </c>
      <c r="D26" s="1">
        <v>17</v>
      </c>
      <c r="E26" s="1">
        <v>8</v>
      </c>
    </row>
    <row r="27" spans="1:5" x14ac:dyDescent="0.2">
      <c r="A27" s="138">
        <v>39845</v>
      </c>
      <c r="B27" s="1">
        <v>9</v>
      </c>
      <c r="C27" s="1">
        <v>7</v>
      </c>
      <c r="D27" s="1">
        <v>15</v>
      </c>
      <c r="E27" s="1">
        <v>11</v>
      </c>
    </row>
    <row r="28" spans="1:5" x14ac:dyDescent="0.2">
      <c r="A28" s="138">
        <v>39873</v>
      </c>
      <c r="B28" s="1">
        <v>9</v>
      </c>
      <c r="C28" s="1">
        <v>8</v>
      </c>
      <c r="D28" s="1">
        <v>15</v>
      </c>
      <c r="E28" s="1">
        <v>9</v>
      </c>
    </row>
    <row r="29" spans="1:5" x14ac:dyDescent="0.2">
      <c r="A29" s="138">
        <v>39904</v>
      </c>
      <c r="B29" s="1">
        <v>14</v>
      </c>
      <c r="C29" s="1">
        <v>13</v>
      </c>
      <c r="D29" s="1">
        <v>25</v>
      </c>
      <c r="E29" s="1">
        <v>14</v>
      </c>
    </row>
    <row r="30" spans="1:5" x14ac:dyDescent="0.2">
      <c r="A30" s="138">
        <v>39934</v>
      </c>
      <c r="B30" s="1">
        <v>16</v>
      </c>
      <c r="C30" s="1">
        <v>14</v>
      </c>
      <c r="D30" s="1">
        <v>27</v>
      </c>
      <c r="E30" s="1">
        <v>13</v>
      </c>
    </row>
    <row r="31" spans="1:5" x14ac:dyDescent="0.2">
      <c r="A31" s="138">
        <v>39965</v>
      </c>
      <c r="B31" s="1">
        <v>15</v>
      </c>
      <c r="C31" s="1">
        <v>14</v>
      </c>
      <c r="D31" s="1">
        <v>26</v>
      </c>
      <c r="E31" s="1">
        <v>13</v>
      </c>
    </row>
    <row r="32" spans="1:5" x14ac:dyDescent="0.2">
      <c r="A32" s="138">
        <v>39995</v>
      </c>
      <c r="B32" s="1">
        <v>17</v>
      </c>
      <c r="C32" s="1">
        <v>17</v>
      </c>
      <c r="D32" s="1">
        <v>26</v>
      </c>
      <c r="E32" s="1">
        <v>14</v>
      </c>
    </row>
    <row r="33" spans="1:5" x14ac:dyDescent="0.2">
      <c r="A33" s="138">
        <v>40026</v>
      </c>
      <c r="B33" s="1">
        <v>18</v>
      </c>
      <c r="C33" s="1">
        <v>16</v>
      </c>
      <c r="D33" s="1">
        <v>30</v>
      </c>
      <c r="E33" s="1">
        <v>16</v>
      </c>
    </row>
    <row r="34" spans="1:5" x14ac:dyDescent="0.2">
      <c r="A34" s="138">
        <v>40057</v>
      </c>
      <c r="B34" s="1">
        <v>19</v>
      </c>
      <c r="C34" s="1">
        <v>18</v>
      </c>
      <c r="D34" s="1">
        <v>29</v>
      </c>
      <c r="E34" s="1">
        <v>17</v>
      </c>
    </row>
    <row r="35" spans="1:5" x14ac:dyDescent="0.2">
      <c r="A35" s="138">
        <v>40087</v>
      </c>
      <c r="B35" s="1">
        <v>18</v>
      </c>
      <c r="C35" s="1">
        <v>17</v>
      </c>
      <c r="D35" s="1">
        <v>27</v>
      </c>
      <c r="E35" s="1">
        <v>14</v>
      </c>
    </row>
    <row r="36" spans="1:5" x14ac:dyDescent="0.2">
      <c r="A36" s="138">
        <v>40118</v>
      </c>
      <c r="B36" s="1">
        <v>17</v>
      </c>
      <c r="C36" s="1">
        <v>17</v>
      </c>
      <c r="D36" s="1">
        <v>28</v>
      </c>
      <c r="E36" s="1">
        <v>13</v>
      </c>
    </row>
    <row r="37" spans="1:5" x14ac:dyDescent="0.2">
      <c r="A37" s="138">
        <v>40148</v>
      </c>
      <c r="B37" s="1">
        <v>16</v>
      </c>
      <c r="C37" s="1">
        <v>16</v>
      </c>
      <c r="D37" s="1">
        <v>26</v>
      </c>
      <c r="E37" s="1">
        <v>13</v>
      </c>
    </row>
    <row r="38" spans="1:5" x14ac:dyDescent="0.2">
      <c r="A38" s="138">
        <v>40179</v>
      </c>
      <c r="B38" s="1">
        <v>15</v>
      </c>
      <c r="C38" s="1">
        <v>15</v>
      </c>
      <c r="D38" s="1">
        <v>26</v>
      </c>
      <c r="E38" s="1">
        <v>12</v>
      </c>
    </row>
    <row r="39" spans="1:5" x14ac:dyDescent="0.2">
      <c r="A39" s="138">
        <v>40210</v>
      </c>
      <c r="B39" s="1">
        <v>17</v>
      </c>
      <c r="C39" s="1">
        <v>17</v>
      </c>
      <c r="D39" s="1">
        <v>27</v>
      </c>
      <c r="E39" s="1">
        <v>12</v>
      </c>
    </row>
    <row r="40" spans="1:5" x14ac:dyDescent="0.2">
      <c r="A40" s="138">
        <v>40238</v>
      </c>
      <c r="B40" s="1">
        <v>15</v>
      </c>
      <c r="C40" s="1">
        <v>15</v>
      </c>
      <c r="D40" s="1">
        <v>24</v>
      </c>
      <c r="E40" s="1">
        <v>10</v>
      </c>
    </row>
    <row r="41" spans="1:5" x14ac:dyDescent="0.2">
      <c r="A41" s="138">
        <v>40269</v>
      </c>
      <c r="B41" s="1">
        <v>19</v>
      </c>
      <c r="C41" s="1">
        <v>20</v>
      </c>
      <c r="D41" s="1">
        <v>25</v>
      </c>
      <c r="E41" s="1">
        <v>13</v>
      </c>
    </row>
    <row r="42" spans="1:5" x14ac:dyDescent="0.2">
      <c r="A42" s="138">
        <v>40299</v>
      </c>
      <c r="B42" s="1">
        <v>22</v>
      </c>
      <c r="C42" s="1">
        <v>23</v>
      </c>
      <c r="D42" s="1">
        <v>27</v>
      </c>
      <c r="E42" s="1">
        <v>16</v>
      </c>
    </row>
    <row r="43" spans="1:5" x14ac:dyDescent="0.2">
      <c r="A43" s="138">
        <v>40330</v>
      </c>
      <c r="B43" s="1">
        <v>16</v>
      </c>
      <c r="C43" s="1">
        <v>17</v>
      </c>
      <c r="D43" s="1">
        <v>22</v>
      </c>
      <c r="E43" s="1">
        <v>13</v>
      </c>
    </row>
    <row r="44" spans="1:5" x14ac:dyDescent="0.2">
      <c r="A44" s="138">
        <v>40360</v>
      </c>
      <c r="B44" s="1">
        <v>14</v>
      </c>
      <c r="C44" s="1">
        <v>15</v>
      </c>
      <c r="D44" s="1">
        <v>21</v>
      </c>
      <c r="E44" s="1">
        <v>10</v>
      </c>
    </row>
    <row r="45" spans="1:5" x14ac:dyDescent="0.2">
      <c r="A45" s="138">
        <v>40391</v>
      </c>
      <c r="B45" s="1">
        <v>13</v>
      </c>
      <c r="C45" s="1">
        <v>13</v>
      </c>
      <c r="D45" s="1">
        <v>18</v>
      </c>
      <c r="E45" s="1">
        <v>10</v>
      </c>
    </row>
    <row r="46" spans="1:5" x14ac:dyDescent="0.2">
      <c r="A46" s="138">
        <v>40422</v>
      </c>
      <c r="B46" s="1">
        <v>13</v>
      </c>
      <c r="C46" s="1">
        <v>13</v>
      </c>
      <c r="D46" s="1">
        <v>18</v>
      </c>
      <c r="E46" s="1">
        <v>9</v>
      </c>
    </row>
    <row r="47" spans="1:5" ht="13.5" customHeight="1" x14ac:dyDescent="0.2">
      <c r="A47" s="138">
        <v>40452</v>
      </c>
      <c r="B47" s="1">
        <v>13</v>
      </c>
      <c r="C47" s="1">
        <v>13</v>
      </c>
      <c r="D47" s="1">
        <v>18</v>
      </c>
      <c r="E47" s="1">
        <v>9</v>
      </c>
    </row>
    <row r="48" spans="1:5" x14ac:dyDescent="0.2">
      <c r="A48" s="138">
        <v>40483</v>
      </c>
      <c r="B48" s="1">
        <v>15</v>
      </c>
      <c r="C48" s="1">
        <v>16</v>
      </c>
      <c r="D48" s="1">
        <v>23</v>
      </c>
      <c r="E48" s="1">
        <v>11</v>
      </c>
    </row>
    <row r="49" spans="1:11" x14ac:dyDescent="0.2">
      <c r="A49" s="138">
        <v>40513</v>
      </c>
      <c r="B49" s="1">
        <v>16</v>
      </c>
      <c r="C49" s="1">
        <v>16</v>
      </c>
      <c r="D49" s="1">
        <v>25</v>
      </c>
      <c r="E49" s="1">
        <v>12</v>
      </c>
    </row>
    <row r="50" spans="1:11" x14ac:dyDescent="0.2">
      <c r="A50" s="138">
        <v>40544</v>
      </c>
      <c r="B50" s="1">
        <v>16</v>
      </c>
      <c r="C50" s="1">
        <v>15</v>
      </c>
      <c r="D50" s="1">
        <v>24</v>
      </c>
      <c r="E50" s="1">
        <v>12</v>
      </c>
      <c r="H50" s="53"/>
      <c r="I50" s="53"/>
      <c r="J50" s="53"/>
      <c r="K50" s="53"/>
    </row>
    <row r="51" spans="1:11" x14ac:dyDescent="0.2">
      <c r="A51" s="138">
        <v>40575</v>
      </c>
      <c r="B51" s="1">
        <v>16</v>
      </c>
      <c r="C51" s="1">
        <v>17</v>
      </c>
      <c r="D51" s="1">
        <v>25</v>
      </c>
      <c r="E51" s="1">
        <v>12</v>
      </c>
      <c r="H51" s="53"/>
      <c r="I51" s="53"/>
      <c r="J51" s="53"/>
      <c r="K51" s="53"/>
    </row>
    <row r="52" spans="1:11" x14ac:dyDescent="0.2">
      <c r="A52" s="138">
        <v>40603</v>
      </c>
      <c r="B52" s="1">
        <v>17</v>
      </c>
      <c r="C52" s="1">
        <v>17</v>
      </c>
      <c r="D52" s="1">
        <v>26</v>
      </c>
      <c r="E52" s="1">
        <v>12</v>
      </c>
      <c r="H52" s="53"/>
      <c r="I52" s="53"/>
      <c r="J52" s="53"/>
      <c r="K52" s="53"/>
    </row>
    <row r="53" spans="1:11" x14ac:dyDescent="0.2">
      <c r="A53" s="138">
        <v>40634</v>
      </c>
      <c r="B53" s="1">
        <v>16</v>
      </c>
      <c r="C53" s="1">
        <v>15</v>
      </c>
      <c r="D53" s="1">
        <v>22</v>
      </c>
      <c r="E53" s="1">
        <v>13</v>
      </c>
      <c r="H53" s="53"/>
      <c r="I53" s="53"/>
      <c r="J53" s="53"/>
      <c r="K53" s="53"/>
    </row>
    <row r="54" spans="1:11" x14ac:dyDescent="0.2">
      <c r="A54" s="138">
        <v>40664</v>
      </c>
      <c r="B54" s="1">
        <v>16</v>
      </c>
      <c r="C54" s="1">
        <v>15</v>
      </c>
      <c r="D54" s="1">
        <v>19</v>
      </c>
      <c r="E54" s="1">
        <v>14</v>
      </c>
      <c r="H54" s="53"/>
      <c r="I54" s="53"/>
      <c r="J54" s="53"/>
      <c r="K54" s="53"/>
    </row>
    <row r="55" spans="1:11" x14ac:dyDescent="0.2">
      <c r="A55" s="138">
        <v>40695</v>
      </c>
      <c r="B55" s="1">
        <v>13</v>
      </c>
      <c r="C55" s="1">
        <v>13</v>
      </c>
      <c r="D55" s="1">
        <v>15</v>
      </c>
      <c r="E55" s="1">
        <v>12</v>
      </c>
      <c r="H55" s="53"/>
      <c r="I55" s="53"/>
      <c r="J55" s="53"/>
      <c r="K55" s="53"/>
    </row>
    <row r="56" spans="1:11" x14ac:dyDescent="0.2">
      <c r="A56" s="138">
        <v>40725</v>
      </c>
      <c r="B56" s="1">
        <v>15</v>
      </c>
      <c r="C56" s="1">
        <v>15</v>
      </c>
      <c r="D56" s="1">
        <v>21</v>
      </c>
      <c r="E56" s="1">
        <v>12</v>
      </c>
      <c r="H56" s="53"/>
      <c r="I56" s="53"/>
      <c r="J56" s="53"/>
      <c r="K56" s="53"/>
    </row>
    <row r="57" spans="1:11" x14ac:dyDescent="0.2">
      <c r="A57" s="138">
        <v>40756</v>
      </c>
      <c r="B57" s="1">
        <v>15</v>
      </c>
      <c r="C57" s="1">
        <v>15</v>
      </c>
      <c r="D57" s="1">
        <v>19</v>
      </c>
      <c r="E57" s="1">
        <v>13</v>
      </c>
      <c r="H57" s="53"/>
      <c r="I57" s="53"/>
      <c r="J57" s="53"/>
      <c r="K57" s="53"/>
    </row>
    <row r="58" spans="1:11" x14ac:dyDescent="0.2">
      <c r="A58" s="138">
        <v>40787</v>
      </c>
      <c r="B58" s="1">
        <v>14</v>
      </c>
      <c r="C58" s="1">
        <v>14</v>
      </c>
      <c r="D58" s="1">
        <v>17</v>
      </c>
      <c r="E58" s="1">
        <v>11</v>
      </c>
      <c r="H58" s="53"/>
      <c r="I58" s="53"/>
      <c r="J58" s="53"/>
      <c r="K58" s="53"/>
    </row>
    <row r="59" spans="1:11" x14ac:dyDescent="0.2">
      <c r="A59" s="138">
        <v>40817</v>
      </c>
      <c r="B59" s="1">
        <v>17</v>
      </c>
      <c r="C59" s="1">
        <v>17</v>
      </c>
      <c r="D59" s="1">
        <v>23</v>
      </c>
      <c r="E59" s="1">
        <v>14</v>
      </c>
      <c r="H59" s="53"/>
      <c r="I59" s="53"/>
      <c r="J59" s="53"/>
      <c r="K59" s="53"/>
    </row>
    <row r="60" spans="1:11" x14ac:dyDescent="0.2">
      <c r="A60" s="138">
        <v>40848</v>
      </c>
      <c r="B60" s="1">
        <v>19</v>
      </c>
      <c r="C60" s="1">
        <v>20</v>
      </c>
      <c r="D60" s="1">
        <v>25</v>
      </c>
      <c r="E60" s="1">
        <v>15</v>
      </c>
      <c r="H60" s="53"/>
      <c r="I60" s="53"/>
      <c r="J60" s="53"/>
      <c r="K60" s="53"/>
    </row>
    <row r="61" spans="1:11" x14ac:dyDescent="0.2">
      <c r="A61" s="138">
        <v>40878</v>
      </c>
      <c r="B61" s="1">
        <v>21</v>
      </c>
      <c r="C61" s="1">
        <v>22</v>
      </c>
      <c r="D61" s="1">
        <v>26</v>
      </c>
      <c r="E61" s="1">
        <v>18</v>
      </c>
      <c r="H61" s="53"/>
      <c r="I61" s="53"/>
      <c r="J61" s="53"/>
      <c r="K61" s="53"/>
    </row>
    <row r="62" spans="1:11" x14ac:dyDescent="0.2">
      <c r="A62" s="138">
        <v>40909</v>
      </c>
      <c r="B62" s="1">
        <v>25</v>
      </c>
      <c r="C62" s="1">
        <v>25</v>
      </c>
      <c r="D62" s="1">
        <v>29</v>
      </c>
      <c r="E62" s="1">
        <v>21</v>
      </c>
      <c r="I62" s="105"/>
    </row>
    <row r="63" spans="1:11" x14ac:dyDescent="0.2">
      <c r="A63" s="138">
        <v>40940</v>
      </c>
      <c r="B63" s="1">
        <v>28</v>
      </c>
      <c r="C63" s="1">
        <v>30</v>
      </c>
      <c r="D63" s="1">
        <v>34</v>
      </c>
      <c r="E63" s="1">
        <v>22</v>
      </c>
      <c r="I63" s="105"/>
    </row>
    <row r="64" spans="1:11" x14ac:dyDescent="0.2">
      <c r="A64" s="138">
        <v>40969</v>
      </c>
      <c r="B64" s="1">
        <v>28</v>
      </c>
      <c r="C64" s="1">
        <v>29</v>
      </c>
      <c r="D64" s="1">
        <v>35</v>
      </c>
      <c r="E64" s="1">
        <v>22</v>
      </c>
      <c r="I64" s="105"/>
    </row>
    <row r="65" spans="1:9" x14ac:dyDescent="0.2">
      <c r="A65" s="138">
        <v>41000</v>
      </c>
      <c r="B65" s="1">
        <v>24</v>
      </c>
      <c r="C65" s="1">
        <v>25</v>
      </c>
      <c r="D65" s="1">
        <v>31</v>
      </c>
      <c r="E65" s="1">
        <v>18</v>
      </c>
      <c r="I65" s="105"/>
    </row>
    <row r="66" spans="1:9" x14ac:dyDescent="0.2">
      <c r="A66" s="138">
        <v>41030</v>
      </c>
      <c r="B66" s="1">
        <v>28</v>
      </c>
      <c r="C66" s="1">
        <v>30</v>
      </c>
      <c r="D66" s="1">
        <v>34</v>
      </c>
      <c r="E66" s="1">
        <v>23</v>
      </c>
      <c r="I66" s="105"/>
    </row>
    <row r="67" spans="1:9" x14ac:dyDescent="0.2">
      <c r="A67" s="138">
        <v>41061</v>
      </c>
      <c r="B67" s="1">
        <v>29</v>
      </c>
      <c r="C67" s="1">
        <v>31</v>
      </c>
      <c r="D67" s="1">
        <v>33</v>
      </c>
      <c r="E67" s="1">
        <v>23</v>
      </c>
      <c r="I67" s="105"/>
    </row>
    <row r="68" spans="1:9" x14ac:dyDescent="0.2">
      <c r="A68" s="138">
        <v>41091</v>
      </c>
      <c r="B68" s="1">
        <v>35</v>
      </c>
      <c r="C68" s="1">
        <v>36</v>
      </c>
      <c r="D68" s="1">
        <v>43</v>
      </c>
      <c r="E68" s="1">
        <v>28</v>
      </c>
      <c r="I68" s="105"/>
    </row>
    <row r="69" spans="1:9" x14ac:dyDescent="0.2">
      <c r="A69" s="138">
        <v>41122</v>
      </c>
      <c r="B69" s="1">
        <v>37</v>
      </c>
      <c r="C69" s="1">
        <v>38</v>
      </c>
      <c r="D69" s="1">
        <v>43</v>
      </c>
      <c r="E69" s="1">
        <v>30</v>
      </c>
      <c r="I69" s="105"/>
    </row>
    <row r="70" spans="1:9" x14ac:dyDescent="0.2">
      <c r="A70" s="138">
        <v>41153</v>
      </c>
      <c r="B70" s="1">
        <v>40</v>
      </c>
      <c r="C70" s="1">
        <v>42</v>
      </c>
      <c r="D70" s="1">
        <v>51</v>
      </c>
      <c r="E70" s="1">
        <v>30</v>
      </c>
      <c r="I70" s="105"/>
    </row>
    <row r="71" spans="1:9" x14ac:dyDescent="0.2">
      <c r="A71" s="138">
        <v>41183</v>
      </c>
      <c r="B71" s="1">
        <v>41</v>
      </c>
      <c r="C71" s="1">
        <v>41</v>
      </c>
      <c r="D71" s="1">
        <v>51</v>
      </c>
      <c r="E71" s="1">
        <v>35</v>
      </c>
      <c r="I71" s="105"/>
    </row>
    <row r="72" spans="1:9" x14ac:dyDescent="0.2">
      <c r="A72" s="138">
        <v>41214</v>
      </c>
      <c r="B72" s="1">
        <v>45</v>
      </c>
      <c r="C72" s="1">
        <v>49</v>
      </c>
      <c r="D72" s="1">
        <v>52</v>
      </c>
      <c r="E72" s="1">
        <v>35</v>
      </c>
      <c r="I72" s="105"/>
    </row>
    <row r="73" spans="1:9" x14ac:dyDescent="0.2">
      <c r="A73" s="138">
        <v>41244</v>
      </c>
      <c r="B73" s="1">
        <v>47</v>
      </c>
      <c r="C73" s="1">
        <v>51</v>
      </c>
      <c r="D73" s="1">
        <v>50</v>
      </c>
      <c r="E73" s="1">
        <v>36</v>
      </c>
      <c r="I73" s="105"/>
    </row>
    <row r="74" spans="1:9" x14ac:dyDescent="0.2">
      <c r="A74" s="138">
        <v>41275</v>
      </c>
      <c r="B74" s="1">
        <v>47</v>
      </c>
      <c r="C74" s="1">
        <v>52</v>
      </c>
      <c r="D74" s="1">
        <v>49</v>
      </c>
      <c r="E74" s="1">
        <v>36</v>
      </c>
    </row>
    <row r="75" spans="1:9" x14ac:dyDescent="0.2">
      <c r="A75" s="138">
        <v>41306</v>
      </c>
      <c r="B75" s="1">
        <v>46</v>
      </c>
      <c r="C75" s="1">
        <v>51</v>
      </c>
      <c r="D75" s="1">
        <v>50</v>
      </c>
      <c r="E75" s="1">
        <v>32</v>
      </c>
    </row>
    <row r="76" spans="1:9" x14ac:dyDescent="0.2">
      <c r="A76" s="138">
        <v>41334</v>
      </c>
      <c r="B76" s="1">
        <v>44</v>
      </c>
      <c r="C76" s="1">
        <v>47</v>
      </c>
      <c r="D76" s="1">
        <v>50</v>
      </c>
      <c r="E76" s="1">
        <v>34</v>
      </c>
    </row>
    <row r="77" spans="1:9" x14ac:dyDescent="0.2">
      <c r="A77" s="138">
        <v>41365</v>
      </c>
      <c r="B77" s="1">
        <v>41</v>
      </c>
      <c r="C77" s="1">
        <v>44</v>
      </c>
      <c r="D77" s="1">
        <v>52</v>
      </c>
      <c r="E77" s="1">
        <v>30</v>
      </c>
    </row>
    <row r="78" spans="1:9" x14ac:dyDescent="0.2">
      <c r="A78" s="138">
        <v>41395</v>
      </c>
      <c r="B78" s="1">
        <v>44</v>
      </c>
      <c r="C78" s="1">
        <v>48</v>
      </c>
      <c r="D78" s="1">
        <v>52</v>
      </c>
      <c r="E78" s="1">
        <v>33</v>
      </c>
    </row>
    <row r="79" spans="1:9" x14ac:dyDescent="0.2">
      <c r="A79" s="138">
        <v>41426</v>
      </c>
      <c r="B79" s="1">
        <v>51</v>
      </c>
      <c r="C79" s="1">
        <v>55</v>
      </c>
      <c r="D79" s="1">
        <v>60</v>
      </c>
      <c r="E79" s="1">
        <v>40</v>
      </c>
    </row>
    <row r="80" spans="1:9" x14ac:dyDescent="0.2">
      <c r="A80" s="138">
        <v>41456</v>
      </c>
      <c r="B80" s="1">
        <v>56</v>
      </c>
      <c r="C80" s="1">
        <v>59</v>
      </c>
      <c r="D80" s="1">
        <v>67</v>
      </c>
      <c r="E80" s="1">
        <v>45</v>
      </c>
    </row>
    <row r="81" spans="1:19" x14ac:dyDescent="0.2">
      <c r="A81" s="138">
        <v>41487</v>
      </c>
      <c r="B81" s="1">
        <v>58</v>
      </c>
      <c r="C81" s="1">
        <v>62</v>
      </c>
      <c r="D81" s="1">
        <v>68</v>
      </c>
      <c r="E81" s="1">
        <v>46</v>
      </c>
    </row>
    <row r="82" spans="1:19" x14ac:dyDescent="0.2">
      <c r="A82" s="138">
        <v>41518</v>
      </c>
      <c r="B82" s="1">
        <v>57</v>
      </c>
      <c r="C82" s="1">
        <v>60</v>
      </c>
      <c r="D82" s="1">
        <v>64</v>
      </c>
      <c r="E82" s="1">
        <v>46</v>
      </c>
    </row>
    <row r="83" spans="1:19" x14ac:dyDescent="0.2">
      <c r="A83" s="138">
        <v>41548</v>
      </c>
      <c r="B83" s="1">
        <v>54</v>
      </c>
      <c r="C83" s="1">
        <v>58</v>
      </c>
      <c r="D83" s="1">
        <v>61</v>
      </c>
      <c r="E83" s="1">
        <v>43</v>
      </c>
    </row>
    <row r="84" spans="1:19" x14ac:dyDescent="0.2">
      <c r="A84" s="138">
        <v>41579</v>
      </c>
      <c r="B84" s="1">
        <v>54</v>
      </c>
      <c r="C84" s="1">
        <v>58</v>
      </c>
      <c r="D84" s="1">
        <v>60</v>
      </c>
      <c r="E84" s="1">
        <v>41</v>
      </c>
    </row>
    <row r="85" spans="1:19" x14ac:dyDescent="0.2">
      <c r="A85" s="138">
        <v>41609</v>
      </c>
      <c r="B85" s="1">
        <v>57</v>
      </c>
      <c r="C85" s="1">
        <v>63</v>
      </c>
      <c r="D85" s="1">
        <v>62</v>
      </c>
      <c r="E85" s="1">
        <v>43</v>
      </c>
    </row>
    <row r="86" spans="1:19" x14ac:dyDescent="0.2">
      <c r="A86" s="138">
        <v>41640</v>
      </c>
      <c r="B86" s="1">
        <v>56</v>
      </c>
      <c r="C86" s="1">
        <v>62</v>
      </c>
      <c r="D86" s="1">
        <v>60</v>
      </c>
      <c r="E86" s="1">
        <v>40</v>
      </c>
    </row>
    <row r="87" spans="1:19" ht="15" x14ac:dyDescent="0.2">
      <c r="A87" s="138">
        <v>41671</v>
      </c>
      <c r="B87" s="1">
        <v>46</v>
      </c>
      <c r="C87" s="1">
        <v>51</v>
      </c>
      <c r="D87" s="1">
        <v>54</v>
      </c>
      <c r="E87" s="1">
        <v>31</v>
      </c>
      <c r="M87" s="139"/>
      <c r="N87" s="139"/>
      <c r="O87" s="139"/>
      <c r="P87" s="139"/>
      <c r="Q87" s="139"/>
      <c r="R87" s="139"/>
      <c r="S87" s="139"/>
    </row>
    <row r="88" spans="1:19" x14ac:dyDescent="0.2">
      <c r="A88" s="138">
        <v>41699</v>
      </c>
      <c r="B88" s="1">
        <v>46</v>
      </c>
      <c r="C88" s="1">
        <v>51</v>
      </c>
      <c r="D88" s="1">
        <v>53</v>
      </c>
      <c r="E88" s="1">
        <v>32</v>
      </c>
    </row>
    <row r="89" spans="1:19" x14ac:dyDescent="0.2">
      <c r="A89" s="138">
        <v>41730</v>
      </c>
      <c r="B89" s="1">
        <v>46</v>
      </c>
      <c r="C89" s="1">
        <v>50</v>
      </c>
      <c r="D89" s="1">
        <v>56</v>
      </c>
      <c r="E89" s="1">
        <v>31</v>
      </c>
    </row>
    <row r="90" spans="1:19" x14ac:dyDescent="0.2">
      <c r="A90" s="138">
        <v>41760</v>
      </c>
      <c r="B90" s="1">
        <v>45</v>
      </c>
      <c r="C90" s="1">
        <v>48</v>
      </c>
      <c r="D90" s="1">
        <v>56</v>
      </c>
      <c r="E90" s="1">
        <v>33</v>
      </c>
    </row>
    <row r="91" spans="1:19" x14ac:dyDescent="0.2">
      <c r="A91" s="138">
        <v>41791</v>
      </c>
      <c r="B91" s="1">
        <v>49</v>
      </c>
      <c r="C91" s="1">
        <v>53</v>
      </c>
      <c r="D91" s="1">
        <v>58</v>
      </c>
      <c r="E91" s="1">
        <v>36</v>
      </c>
    </row>
    <row r="92" spans="1:19" x14ac:dyDescent="0.2">
      <c r="A92" s="138">
        <v>41821</v>
      </c>
      <c r="B92" s="1">
        <v>53</v>
      </c>
      <c r="C92" s="1">
        <v>56</v>
      </c>
      <c r="D92" s="1">
        <v>63</v>
      </c>
      <c r="E92" s="1">
        <v>39</v>
      </c>
    </row>
    <row r="93" spans="1:19" x14ac:dyDescent="0.2">
      <c r="A93" s="138">
        <v>41852</v>
      </c>
      <c r="B93" s="1">
        <v>55</v>
      </c>
      <c r="C93" s="1">
        <v>58</v>
      </c>
      <c r="D93" s="1">
        <v>65</v>
      </c>
      <c r="E93" s="1">
        <v>42</v>
      </c>
    </row>
    <row r="94" spans="1:19" x14ac:dyDescent="0.2">
      <c r="A94" s="138">
        <v>41883</v>
      </c>
      <c r="B94" s="1">
        <v>59</v>
      </c>
      <c r="C94" s="1">
        <v>63</v>
      </c>
      <c r="D94" s="1">
        <v>67</v>
      </c>
      <c r="E94" s="1">
        <v>47</v>
      </c>
    </row>
    <row r="95" spans="1:19" x14ac:dyDescent="0.2">
      <c r="A95" s="138">
        <v>41913</v>
      </c>
      <c r="B95" s="1">
        <v>54</v>
      </c>
      <c r="C95" s="1">
        <v>57</v>
      </c>
      <c r="D95" s="1">
        <v>64</v>
      </c>
      <c r="E95" s="1">
        <v>41</v>
      </c>
    </row>
    <row r="96" spans="1:19" x14ac:dyDescent="0.2">
      <c r="A96" s="138">
        <v>41944</v>
      </c>
      <c r="B96" s="1">
        <v>58</v>
      </c>
      <c r="C96" s="1">
        <v>62</v>
      </c>
      <c r="D96" s="1">
        <v>66</v>
      </c>
      <c r="E96" s="1">
        <v>45</v>
      </c>
    </row>
    <row r="97" spans="1:5" x14ac:dyDescent="0.2">
      <c r="A97" s="138">
        <v>41974</v>
      </c>
      <c r="B97" s="1">
        <v>58</v>
      </c>
      <c r="C97" s="1">
        <v>62</v>
      </c>
      <c r="D97" s="1">
        <v>64</v>
      </c>
      <c r="E97" s="1">
        <v>46</v>
      </c>
    </row>
    <row r="98" spans="1:5" x14ac:dyDescent="0.2">
      <c r="A98" s="138">
        <v>42005</v>
      </c>
      <c r="B98" s="1">
        <v>57</v>
      </c>
      <c r="C98" s="1">
        <v>62</v>
      </c>
      <c r="D98" s="1">
        <v>60</v>
      </c>
      <c r="E98" s="1">
        <v>44</v>
      </c>
    </row>
    <row r="99" spans="1:5" x14ac:dyDescent="0.2">
      <c r="A99" s="138">
        <v>42036</v>
      </c>
      <c r="B99" s="1">
        <v>55</v>
      </c>
      <c r="C99" s="1">
        <v>61</v>
      </c>
      <c r="D99" s="1">
        <v>59</v>
      </c>
      <c r="E99" s="1">
        <v>39</v>
      </c>
    </row>
    <row r="100" spans="1:5" x14ac:dyDescent="0.2">
      <c r="A100" s="138">
        <v>42064</v>
      </c>
      <c r="B100" s="1">
        <v>52</v>
      </c>
      <c r="C100" s="1">
        <v>58</v>
      </c>
      <c r="D100" s="1">
        <v>59</v>
      </c>
      <c r="E100" s="1">
        <v>37</v>
      </c>
    </row>
    <row r="101" spans="1:5" x14ac:dyDescent="0.2">
      <c r="A101" s="138">
        <v>42095</v>
      </c>
      <c r="B101" s="1">
        <v>56</v>
      </c>
      <c r="C101" s="1">
        <v>61</v>
      </c>
      <c r="D101" s="1">
        <v>63</v>
      </c>
      <c r="E101" s="1">
        <v>40</v>
      </c>
    </row>
    <row r="102" spans="1:5" x14ac:dyDescent="0.2">
      <c r="A102" s="138">
        <v>42125</v>
      </c>
      <c r="B102" s="1">
        <v>54</v>
      </c>
      <c r="C102" s="1">
        <v>58</v>
      </c>
      <c r="D102" s="1">
        <v>63</v>
      </c>
      <c r="E102" s="1">
        <v>39</v>
      </c>
    </row>
    <row r="103" spans="1:5" x14ac:dyDescent="0.2">
      <c r="A103" s="138">
        <v>42156</v>
      </c>
      <c r="B103" s="1">
        <v>60</v>
      </c>
      <c r="C103" s="1">
        <v>65</v>
      </c>
      <c r="D103" s="1">
        <v>69</v>
      </c>
      <c r="E103" s="1">
        <v>44</v>
      </c>
    </row>
    <row r="104" spans="1:5" x14ac:dyDescent="0.2">
      <c r="A104" s="138">
        <v>42186</v>
      </c>
      <c r="B104" s="1">
        <v>60</v>
      </c>
      <c r="C104" s="1">
        <v>65</v>
      </c>
      <c r="D104" s="1">
        <v>70</v>
      </c>
      <c r="E104" s="1">
        <v>43</v>
      </c>
    </row>
    <row r="105" spans="1:5" x14ac:dyDescent="0.2">
      <c r="A105" s="138">
        <v>42217</v>
      </c>
      <c r="B105" s="1">
        <v>61</v>
      </c>
      <c r="C105" s="1">
        <v>66</v>
      </c>
      <c r="D105" s="1">
        <v>70</v>
      </c>
      <c r="E105" s="1">
        <v>45</v>
      </c>
    </row>
    <row r="106" spans="1:5" x14ac:dyDescent="0.2">
      <c r="A106" s="138">
        <v>42248</v>
      </c>
      <c r="B106" s="1">
        <v>61</v>
      </c>
      <c r="C106" s="1">
        <v>67</v>
      </c>
      <c r="D106" s="1">
        <v>68</v>
      </c>
      <c r="E106" s="1">
        <v>47</v>
      </c>
    </row>
    <row r="107" spans="1:5" x14ac:dyDescent="0.2">
      <c r="A107" s="138">
        <v>42278</v>
      </c>
      <c r="B107" s="1">
        <v>65</v>
      </c>
      <c r="C107" s="1">
        <v>70</v>
      </c>
      <c r="D107" s="1">
        <v>75</v>
      </c>
      <c r="E107" s="1">
        <v>47</v>
      </c>
    </row>
    <row r="108" spans="1:5" x14ac:dyDescent="0.2">
      <c r="A108" s="138">
        <v>42309</v>
      </c>
      <c r="B108" s="1">
        <v>62</v>
      </c>
      <c r="C108" s="1">
        <v>67</v>
      </c>
      <c r="D108" s="1">
        <v>69</v>
      </c>
      <c r="E108" s="1">
        <v>48</v>
      </c>
    </row>
    <row r="109" spans="1:5" x14ac:dyDescent="0.2">
      <c r="A109" s="138">
        <v>42339</v>
      </c>
      <c r="B109" s="1">
        <v>60</v>
      </c>
      <c r="C109" s="1">
        <v>65</v>
      </c>
      <c r="D109" s="1">
        <v>66</v>
      </c>
      <c r="E109" s="1">
        <v>46</v>
      </c>
    </row>
    <row r="110" spans="1:5" x14ac:dyDescent="0.2">
      <c r="A110" s="138">
        <v>42370</v>
      </c>
      <c r="B110" s="1">
        <v>61</v>
      </c>
      <c r="C110" s="1">
        <v>68</v>
      </c>
      <c r="D110" s="1">
        <v>64</v>
      </c>
      <c r="E110" s="1">
        <v>44</v>
      </c>
    </row>
    <row r="111" spans="1:5" x14ac:dyDescent="0.2">
      <c r="A111" s="138">
        <v>42401</v>
      </c>
      <c r="B111" s="1">
        <v>58</v>
      </c>
      <c r="C111" s="1">
        <v>65</v>
      </c>
      <c r="D111" s="1">
        <v>64</v>
      </c>
      <c r="E111" s="1">
        <v>39</v>
      </c>
    </row>
    <row r="112" spans="1:5" x14ac:dyDescent="0.2">
      <c r="A112" s="138">
        <v>42430</v>
      </c>
      <c r="B112" s="1">
        <v>58</v>
      </c>
      <c r="C112" s="1">
        <v>65</v>
      </c>
      <c r="D112" s="1">
        <v>61</v>
      </c>
      <c r="E112" s="1">
        <v>43</v>
      </c>
    </row>
    <row r="113" spans="1:5" x14ac:dyDescent="0.2">
      <c r="A113" s="138">
        <v>42461</v>
      </c>
      <c r="B113" s="1">
        <v>58</v>
      </c>
      <c r="C113" s="1">
        <v>63</v>
      </c>
      <c r="D113" s="1">
        <v>62</v>
      </c>
      <c r="E113" s="1">
        <v>44</v>
      </c>
    </row>
    <row r="114" spans="1:5" x14ac:dyDescent="0.2">
      <c r="A114" s="138">
        <v>42491</v>
      </c>
      <c r="B114" s="1">
        <v>58</v>
      </c>
      <c r="C114" s="1">
        <v>63</v>
      </c>
      <c r="D114" s="1">
        <v>65</v>
      </c>
      <c r="E114" s="1">
        <v>44</v>
      </c>
    </row>
    <row r="115" spans="1:5" x14ac:dyDescent="0.2">
      <c r="A115" s="138">
        <v>42522</v>
      </c>
      <c r="B115" s="1">
        <v>60</v>
      </c>
      <c r="C115" s="1">
        <v>64</v>
      </c>
      <c r="D115" s="1">
        <v>69</v>
      </c>
      <c r="E115" s="1">
        <v>46</v>
      </c>
    </row>
    <row r="116" spans="1:5" x14ac:dyDescent="0.2">
      <c r="A116" s="138">
        <v>42552</v>
      </c>
      <c r="B116" s="1">
        <v>58</v>
      </c>
      <c r="C116" s="1">
        <v>63</v>
      </c>
      <c r="D116" s="1">
        <v>66</v>
      </c>
      <c r="E116" s="1">
        <v>45</v>
      </c>
    </row>
    <row r="117" spans="1:5" x14ac:dyDescent="0.2">
      <c r="A117" s="138">
        <v>42583</v>
      </c>
      <c r="B117" s="1">
        <v>59</v>
      </c>
      <c r="C117" s="1">
        <v>65</v>
      </c>
      <c r="D117" s="1">
        <v>66</v>
      </c>
      <c r="E117" s="1">
        <v>44</v>
      </c>
    </row>
    <row r="118" spans="1:5" x14ac:dyDescent="0.2">
      <c r="A118" s="138">
        <v>42614</v>
      </c>
      <c r="B118" s="1">
        <v>65</v>
      </c>
      <c r="C118" s="1">
        <v>71</v>
      </c>
      <c r="D118" s="1">
        <v>71</v>
      </c>
      <c r="E118" s="1">
        <v>47</v>
      </c>
    </row>
    <row r="119" spans="1:5" x14ac:dyDescent="0.2">
      <c r="A119" s="138">
        <v>42644</v>
      </c>
      <c r="B119" s="1">
        <v>63</v>
      </c>
      <c r="C119" s="1">
        <v>69</v>
      </c>
      <c r="D119" s="1">
        <v>71</v>
      </c>
      <c r="E119" s="1">
        <v>46</v>
      </c>
    </row>
    <row r="120" spans="1:5" x14ac:dyDescent="0.2">
      <c r="A120" s="138">
        <v>42675</v>
      </c>
      <c r="B120" s="1">
        <v>63</v>
      </c>
      <c r="C120" s="1">
        <v>69</v>
      </c>
      <c r="D120" s="1">
        <v>69</v>
      </c>
      <c r="E120" s="1">
        <v>47</v>
      </c>
    </row>
    <row r="121" spans="1:5" x14ac:dyDescent="0.2">
      <c r="A121" s="138">
        <v>42705</v>
      </c>
      <c r="B121" s="1">
        <v>69</v>
      </c>
      <c r="C121" s="1">
        <v>75</v>
      </c>
      <c r="D121" s="1">
        <v>78</v>
      </c>
      <c r="E121" s="1">
        <v>52</v>
      </c>
    </row>
    <row r="122" spans="1:5" x14ac:dyDescent="0.2">
      <c r="A122" s="138">
        <v>42736</v>
      </c>
      <c r="B122" s="1">
        <v>67</v>
      </c>
      <c r="C122" s="1">
        <v>72</v>
      </c>
      <c r="D122" s="1">
        <v>76</v>
      </c>
      <c r="E122" s="1">
        <v>51</v>
      </c>
    </row>
    <row r="123" spans="1:5" x14ac:dyDescent="0.2">
      <c r="A123" s="138">
        <v>42767</v>
      </c>
      <c r="B123" s="1">
        <v>65</v>
      </c>
      <c r="C123" s="1">
        <v>71</v>
      </c>
      <c r="D123" s="1">
        <v>73</v>
      </c>
      <c r="E123" s="1">
        <v>46</v>
      </c>
    </row>
    <row r="124" spans="1:5" x14ac:dyDescent="0.2">
      <c r="A124" s="138">
        <v>42795</v>
      </c>
      <c r="B124" s="1">
        <v>71</v>
      </c>
      <c r="C124" s="1">
        <v>77</v>
      </c>
      <c r="D124" s="1">
        <v>78</v>
      </c>
      <c r="E124" s="1">
        <v>53</v>
      </c>
    </row>
    <row r="125" spans="1:5" x14ac:dyDescent="0.2">
      <c r="A125" s="138">
        <v>42826</v>
      </c>
      <c r="B125" s="1">
        <v>68</v>
      </c>
      <c r="C125" s="1">
        <v>74</v>
      </c>
      <c r="D125" s="1">
        <v>75</v>
      </c>
      <c r="E125" s="1">
        <v>52</v>
      </c>
    </row>
    <row r="126" spans="1:5" x14ac:dyDescent="0.2">
      <c r="A126" s="138">
        <v>42856</v>
      </c>
      <c r="B126" s="1">
        <v>69</v>
      </c>
      <c r="C126" s="1">
        <v>75</v>
      </c>
      <c r="D126" s="1">
        <v>78</v>
      </c>
      <c r="E126" s="1">
        <v>51</v>
      </c>
    </row>
    <row r="127" spans="1:5" x14ac:dyDescent="0.2">
      <c r="A127" s="138">
        <v>42887</v>
      </c>
      <c r="B127" s="1">
        <v>66</v>
      </c>
      <c r="C127" s="1">
        <v>72</v>
      </c>
      <c r="D127" s="1">
        <v>75</v>
      </c>
      <c r="E127" s="1">
        <v>49</v>
      </c>
    </row>
    <row r="128" spans="1:5" x14ac:dyDescent="0.2">
      <c r="A128" s="138">
        <v>42917</v>
      </c>
      <c r="B128" s="1">
        <v>64</v>
      </c>
      <c r="C128" s="1">
        <v>70</v>
      </c>
      <c r="D128" s="1">
        <v>73</v>
      </c>
      <c r="E128" s="1">
        <v>48</v>
      </c>
    </row>
    <row r="129" spans="1:13" x14ac:dyDescent="0.2">
      <c r="A129" s="138">
        <v>42948</v>
      </c>
      <c r="B129" s="1">
        <v>67</v>
      </c>
      <c r="C129" s="1">
        <v>74</v>
      </c>
      <c r="D129" s="1">
        <v>77</v>
      </c>
      <c r="E129" s="1">
        <v>48</v>
      </c>
    </row>
    <row r="130" spans="1:13" x14ac:dyDescent="0.2">
      <c r="A130" s="138">
        <v>42979</v>
      </c>
      <c r="B130" s="1">
        <v>64</v>
      </c>
      <c r="C130" s="1">
        <v>70</v>
      </c>
      <c r="D130" s="1">
        <v>73</v>
      </c>
      <c r="E130" s="1">
        <v>47</v>
      </c>
    </row>
    <row r="131" spans="1:13" x14ac:dyDescent="0.2">
      <c r="A131" s="138">
        <v>43009</v>
      </c>
      <c r="B131" s="1">
        <v>68</v>
      </c>
      <c r="C131" s="1">
        <v>75</v>
      </c>
      <c r="D131" s="1">
        <v>78</v>
      </c>
      <c r="E131" s="1">
        <v>48</v>
      </c>
    </row>
    <row r="132" spans="1:13" x14ac:dyDescent="0.2">
      <c r="A132" s="138">
        <v>43040</v>
      </c>
      <c r="B132" s="1">
        <v>69</v>
      </c>
      <c r="C132" s="1">
        <v>77</v>
      </c>
      <c r="D132" s="1">
        <v>76</v>
      </c>
      <c r="E132" s="1">
        <v>50</v>
      </c>
    </row>
    <row r="133" spans="1:13" x14ac:dyDescent="0.2">
      <c r="A133" s="138">
        <v>43070</v>
      </c>
      <c r="B133" s="1">
        <v>74</v>
      </c>
      <c r="C133" s="1">
        <v>80</v>
      </c>
      <c r="D133" s="1">
        <v>79</v>
      </c>
      <c r="E133" s="1">
        <v>58</v>
      </c>
    </row>
    <row r="134" spans="1:13" x14ac:dyDescent="0.2">
      <c r="A134" s="138">
        <v>43101</v>
      </c>
      <c r="B134" s="3">
        <v>72</v>
      </c>
      <c r="C134" s="3">
        <v>79</v>
      </c>
      <c r="D134" s="3">
        <v>78</v>
      </c>
      <c r="E134" s="3">
        <v>54</v>
      </c>
    </row>
    <row r="135" spans="1:13" x14ac:dyDescent="0.2">
      <c r="A135" s="138">
        <v>43132</v>
      </c>
      <c r="B135" s="3">
        <v>71</v>
      </c>
      <c r="C135" s="3">
        <v>77</v>
      </c>
      <c r="D135" s="3">
        <v>80</v>
      </c>
      <c r="E135" s="3">
        <v>54</v>
      </c>
    </row>
    <row r="136" spans="1:13" x14ac:dyDescent="0.2">
      <c r="A136" s="138">
        <v>43160</v>
      </c>
      <c r="B136" s="3">
        <v>70</v>
      </c>
      <c r="C136" s="3">
        <v>77</v>
      </c>
      <c r="D136" s="3">
        <v>78</v>
      </c>
      <c r="E136" s="3">
        <v>51</v>
      </c>
    </row>
    <row r="137" spans="1:13" x14ac:dyDescent="0.2">
      <c r="A137" s="138">
        <v>43191</v>
      </c>
      <c r="B137" s="3">
        <v>68</v>
      </c>
      <c r="C137" s="3">
        <v>74</v>
      </c>
      <c r="D137" s="3">
        <v>77</v>
      </c>
      <c r="E137" s="3">
        <v>51</v>
      </c>
    </row>
    <row r="138" spans="1:13" x14ac:dyDescent="0.2">
      <c r="A138" s="138">
        <v>43221</v>
      </c>
      <c r="B138" s="3">
        <v>70</v>
      </c>
      <c r="C138" s="3">
        <v>76</v>
      </c>
      <c r="D138" s="3">
        <v>77</v>
      </c>
      <c r="E138" s="3">
        <v>51</v>
      </c>
    </row>
    <row r="139" spans="1:13" x14ac:dyDescent="0.2">
      <c r="A139" s="138">
        <v>43252</v>
      </c>
      <c r="B139" s="3">
        <v>68</v>
      </c>
      <c r="C139" s="3">
        <v>74</v>
      </c>
      <c r="D139" s="3">
        <v>75</v>
      </c>
      <c r="E139" s="3">
        <v>50</v>
      </c>
    </row>
    <row r="140" spans="1:13" x14ac:dyDescent="0.2">
      <c r="A140" s="138">
        <v>43282</v>
      </c>
      <c r="B140" s="3">
        <v>68</v>
      </c>
      <c r="C140" s="3">
        <v>74</v>
      </c>
      <c r="D140" s="3">
        <v>73</v>
      </c>
      <c r="E140" s="3">
        <v>51</v>
      </c>
    </row>
    <row r="141" spans="1:13" x14ac:dyDescent="0.2">
      <c r="A141" s="138">
        <v>43313</v>
      </c>
      <c r="B141" s="3">
        <v>67</v>
      </c>
      <c r="C141" s="3">
        <v>73</v>
      </c>
      <c r="D141" s="3">
        <v>72</v>
      </c>
      <c r="E141" s="3">
        <v>49</v>
      </c>
      <c r="J141" s="52"/>
      <c r="K141" s="52"/>
      <c r="L141" s="52"/>
      <c r="M141" s="52"/>
    </row>
    <row r="142" spans="1:13" x14ac:dyDescent="0.2">
      <c r="A142" s="138">
        <v>43344</v>
      </c>
      <c r="B142" s="3">
        <v>67</v>
      </c>
      <c r="C142" s="3">
        <v>73</v>
      </c>
      <c r="D142" s="3">
        <v>74</v>
      </c>
      <c r="E142" s="3">
        <v>49</v>
      </c>
      <c r="I142" s="138"/>
    </row>
    <row r="143" spans="1:13" x14ac:dyDescent="0.2">
      <c r="A143" s="138">
        <v>43374</v>
      </c>
      <c r="B143" s="3">
        <v>68</v>
      </c>
      <c r="C143" s="3">
        <v>74</v>
      </c>
      <c r="D143" s="3">
        <v>75</v>
      </c>
      <c r="E143" s="3">
        <v>53</v>
      </c>
      <c r="I143" s="138"/>
    </row>
    <row r="144" spans="1:13" x14ac:dyDescent="0.2">
      <c r="A144" s="138">
        <v>43405</v>
      </c>
      <c r="B144" s="3">
        <v>60</v>
      </c>
      <c r="C144" s="3">
        <v>67</v>
      </c>
      <c r="D144" s="3">
        <v>65</v>
      </c>
      <c r="E144" s="3">
        <v>45</v>
      </c>
      <c r="I144" s="138"/>
    </row>
    <row r="145" spans="1:10" x14ac:dyDescent="0.2">
      <c r="A145" s="138">
        <v>43435</v>
      </c>
      <c r="B145" s="3">
        <v>56</v>
      </c>
      <c r="C145" s="3">
        <v>61</v>
      </c>
      <c r="D145" s="3">
        <v>61</v>
      </c>
      <c r="E145" s="3">
        <v>43</v>
      </c>
      <c r="I145" s="138"/>
    </row>
    <row r="146" spans="1:10" x14ac:dyDescent="0.2">
      <c r="A146" s="138">
        <v>43466</v>
      </c>
      <c r="B146" s="3">
        <v>58</v>
      </c>
      <c r="C146" s="3">
        <v>64</v>
      </c>
      <c r="D146" s="3">
        <v>63</v>
      </c>
      <c r="E146" s="3">
        <v>44</v>
      </c>
    </row>
    <row r="147" spans="1:10" x14ac:dyDescent="0.2">
      <c r="A147" s="138">
        <v>43497</v>
      </c>
      <c r="B147" s="3">
        <v>62</v>
      </c>
      <c r="C147" s="3">
        <v>66</v>
      </c>
      <c r="D147" s="3">
        <v>68</v>
      </c>
      <c r="E147" s="3">
        <v>48</v>
      </c>
    </row>
    <row r="148" spans="1:10" ht="15" x14ac:dyDescent="0.25">
      <c r="A148" s="138">
        <v>43525</v>
      </c>
      <c r="B148" s="140">
        <v>62</v>
      </c>
      <c r="C148" s="140">
        <v>68</v>
      </c>
      <c r="D148" s="140">
        <v>72</v>
      </c>
      <c r="E148" s="140">
        <v>44</v>
      </c>
      <c r="G148" s="141"/>
      <c r="H148" s="141"/>
      <c r="I148" s="141"/>
      <c r="J148" s="141"/>
    </row>
    <row r="149" spans="1:10" x14ac:dyDescent="0.2">
      <c r="A149" s="138">
        <v>43556</v>
      </c>
      <c r="B149" s="140">
        <v>63</v>
      </c>
      <c r="C149" s="140">
        <v>69</v>
      </c>
      <c r="D149" s="140">
        <v>71</v>
      </c>
      <c r="E149" s="140">
        <v>47</v>
      </c>
      <c r="G149" s="3"/>
      <c r="H149" s="3"/>
      <c r="I149" s="3"/>
      <c r="J149" s="3"/>
    </row>
    <row r="150" spans="1:10" x14ac:dyDescent="0.2">
      <c r="A150" s="138">
        <v>43586</v>
      </c>
      <c r="B150" s="3">
        <v>66</v>
      </c>
      <c r="C150" s="3">
        <v>72</v>
      </c>
      <c r="D150" s="3">
        <v>72</v>
      </c>
      <c r="E150" s="3">
        <v>49</v>
      </c>
    </row>
    <row r="151" spans="1:10" x14ac:dyDescent="0.2">
      <c r="A151" s="138">
        <v>43617</v>
      </c>
      <c r="B151" s="3">
        <v>64</v>
      </c>
      <c r="C151" s="3">
        <v>71</v>
      </c>
      <c r="D151" s="3">
        <v>70</v>
      </c>
      <c r="E151" s="3">
        <v>47</v>
      </c>
    </row>
    <row r="152" spans="1:10" x14ac:dyDescent="0.2">
      <c r="A152" s="138">
        <v>43647</v>
      </c>
      <c r="B152" s="3">
        <v>65</v>
      </c>
      <c r="C152" s="3">
        <v>71</v>
      </c>
      <c r="D152" s="3">
        <v>71</v>
      </c>
      <c r="E152" s="3">
        <v>48</v>
      </c>
    </row>
    <row r="153" spans="1:10" x14ac:dyDescent="0.2">
      <c r="A153" s="138">
        <v>43678</v>
      </c>
      <c r="B153" s="3">
        <v>67</v>
      </c>
      <c r="C153" s="3">
        <v>73</v>
      </c>
      <c r="D153" s="3">
        <v>71</v>
      </c>
      <c r="E153" s="3">
        <v>50</v>
      </c>
    </row>
    <row r="154" spans="1:10" x14ac:dyDescent="0.2">
      <c r="A154" s="138">
        <v>43709</v>
      </c>
      <c r="B154" s="3">
        <v>68</v>
      </c>
      <c r="C154" s="3">
        <v>75</v>
      </c>
      <c r="D154" s="3">
        <v>70</v>
      </c>
      <c r="E154" s="3">
        <v>50</v>
      </c>
    </row>
    <row r="155" spans="1:10" x14ac:dyDescent="0.2">
      <c r="A155" s="138">
        <v>43739</v>
      </c>
      <c r="B155" s="140">
        <v>71</v>
      </c>
      <c r="C155" s="140">
        <v>78</v>
      </c>
      <c r="D155" s="140">
        <v>76</v>
      </c>
      <c r="E155" s="140">
        <v>54</v>
      </c>
    </row>
    <row r="156" spans="1:10" x14ac:dyDescent="0.2">
      <c r="A156" s="138">
        <v>43770</v>
      </c>
      <c r="B156" s="140">
        <v>71</v>
      </c>
      <c r="C156" s="140">
        <v>77</v>
      </c>
      <c r="D156" s="140">
        <v>78</v>
      </c>
      <c r="E156" s="140">
        <v>54</v>
      </c>
    </row>
    <row r="157" spans="1:10" x14ac:dyDescent="0.2">
      <c r="A157" s="138">
        <v>43800</v>
      </c>
      <c r="B157" s="140">
        <v>76</v>
      </c>
      <c r="C157" s="140">
        <v>84</v>
      </c>
      <c r="D157" s="140">
        <v>79</v>
      </c>
      <c r="E157" s="140">
        <v>57</v>
      </c>
    </row>
    <row r="158" spans="1:10" x14ac:dyDescent="0.2">
      <c r="A158" s="138">
        <v>43831</v>
      </c>
      <c r="B158" s="140">
        <v>75</v>
      </c>
      <c r="C158" s="140">
        <v>81</v>
      </c>
      <c r="D158" s="140">
        <v>80</v>
      </c>
      <c r="E158" s="140">
        <v>58</v>
      </c>
    </row>
    <row r="159" spans="1:10" x14ac:dyDescent="0.2">
      <c r="A159" s="138">
        <v>43862</v>
      </c>
      <c r="B159" s="140">
        <v>74</v>
      </c>
      <c r="C159" s="140">
        <v>81</v>
      </c>
      <c r="D159" s="140">
        <v>79</v>
      </c>
      <c r="E159" s="140">
        <v>57</v>
      </c>
    </row>
    <row r="160" spans="1:10" x14ac:dyDescent="0.2">
      <c r="A160" s="138">
        <v>43891</v>
      </c>
      <c r="B160" s="140">
        <v>72</v>
      </c>
      <c r="C160" s="140">
        <v>79</v>
      </c>
      <c r="D160" s="140">
        <v>75</v>
      </c>
      <c r="E160" s="140">
        <v>56</v>
      </c>
    </row>
    <row r="161" spans="1:11" x14ac:dyDescent="0.2">
      <c r="A161" s="138">
        <v>43922</v>
      </c>
      <c r="B161" s="140">
        <v>30</v>
      </c>
      <c r="C161" s="140">
        <v>36</v>
      </c>
      <c r="D161" s="140">
        <v>36</v>
      </c>
      <c r="E161" s="140">
        <v>13</v>
      </c>
    </row>
    <row r="162" spans="1:11" x14ac:dyDescent="0.2">
      <c r="A162" s="138">
        <v>43952</v>
      </c>
      <c r="B162" s="140">
        <v>37</v>
      </c>
      <c r="C162" s="140">
        <v>42</v>
      </c>
      <c r="D162" s="140">
        <v>46</v>
      </c>
      <c r="E162" s="140">
        <v>21</v>
      </c>
    </row>
    <row r="163" spans="1:11" x14ac:dyDescent="0.2">
      <c r="A163" s="138">
        <v>43983</v>
      </c>
      <c r="B163" s="140">
        <v>58</v>
      </c>
      <c r="C163" s="140">
        <v>63</v>
      </c>
      <c r="D163" s="140">
        <v>68</v>
      </c>
      <c r="E163" s="140">
        <v>43</v>
      </c>
    </row>
    <row r="164" spans="1:11" x14ac:dyDescent="0.2">
      <c r="A164" s="138">
        <v>44013</v>
      </c>
      <c r="B164" s="140">
        <v>72</v>
      </c>
      <c r="C164" s="140">
        <v>78</v>
      </c>
      <c r="D164" s="140">
        <v>75</v>
      </c>
      <c r="E164" s="140">
        <v>57</v>
      </c>
    </row>
    <row r="165" spans="1:11" s="3" customFormat="1" x14ac:dyDescent="0.2">
      <c r="A165" s="142">
        <v>44044</v>
      </c>
      <c r="B165" s="143">
        <v>78</v>
      </c>
      <c r="C165" s="143">
        <v>84</v>
      </c>
      <c r="D165" s="143">
        <v>78</v>
      </c>
      <c r="E165" s="143">
        <v>64</v>
      </c>
    </row>
    <row r="166" spans="1:11" s="3" customFormat="1" x14ac:dyDescent="0.2">
      <c r="A166" s="142">
        <v>44075</v>
      </c>
      <c r="B166" s="143">
        <v>83</v>
      </c>
      <c r="C166" s="143">
        <v>88</v>
      </c>
      <c r="D166" s="143">
        <v>85</v>
      </c>
      <c r="E166" s="143">
        <v>74</v>
      </c>
    </row>
    <row r="167" spans="1:11" s="3" customFormat="1" x14ac:dyDescent="0.2">
      <c r="A167" s="142">
        <v>44105</v>
      </c>
      <c r="B167" s="143">
        <v>85</v>
      </c>
      <c r="C167" s="143">
        <v>90</v>
      </c>
      <c r="D167" s="143">
        <v>88</v>
      </c>
      <c r="E167" s="143">
        <v>74</v>
      </c>
    </row>
    <row r="168" spans="1:11" x14ac:dyDescent="0.2">
      <c r="A168" s="138">
        <v>44136</v>
      </c>
      <c r="B168" s="140">
        <v>90</v>
      </c>
      <c r="C168" s="140">
        <v>96</v>
      </c>
      <c r="D168" s="140">
        <v>89</v>
      </c>
      <c r="E168" s="140">
        <v>77</v>
      </c>
      <c r="F168" s="144"/>
    </row>
    <row r="169" spans="1:11" x14ac:dyDescent="0.2">
      <c r="A169" s="138">
        <v>44166</v>
      </c>
      <c r="B169" s="140">
        <v>86</v>
      </c>
      <c r="C169" s="140">
        <v>92</v>
      </c>
      <c r="D169" s="140">
        <v>85</v>
      </c>
      <c r="E169" s="140">
        <v>73</v>
      </c>
    </row>
    <row r="170" spans="1:11" x14ac:dyDescent="0.2">
      <c r="A170" s="138">
        <v>44197</v>
      </c>
      <c r="B170" s="140">
        <v>83</v>
      </c>
      <c r="C170" s="140">
        <v>90</v>
      </c>
      <c r="D170" s="140">
        <v>83</v>
      </c>
      <c r="E170" s="140">
        <v>68</v>
      </c>
      <c r="H170" s="140"/>
      <c r="I170" s="140"/>
      <c r="J170" s="140"/>
      <c r="K170" s="140"/>
    </row>
    <row r="171" spans="1:11" x14ac:dyDescent="0.2">
      <c r="A171" s="138">
        <v>44228</v>
      </c>
      <c r="B171" s="140">
        <v>84</v>
      </c>
      <c r="C171" s="140">
        <v>90</v>
      </c>
      <c r="D171" s="140">
        <v>80</v>
      </c>
      <c r="E171" s="140">
        <v>72</v>
      </c>
      <c r="H171" s="140"/>
      <c r="I171" s="140"/>
      <c r="J171" s="140"/>
      <c r="K171" s="140"/>
    </row>
    <row r="172" spans="1:11" x14ac:dyDescent="0.2">
      <c r="A172" s="138">
        <v>44256</v>
      </c>
      <c r="B172" s="140">
        <v>82</v>
      </c>
      <c r="C172" s="140">
        <v>87</v>
      </c>
      <c r="D172" s="140">
        <v>83</v>
      </c>
      <c r="E172" s="140">
        <v>72</v>
      </c>
      <c r="H172" s="140"/>
      <c r="I172" s="140"/>
      <c r="J172" s="140"/>
      <c r="K172" s="140"/>
    </row>
    <row r="173" spans="1:11" x14ac:dyDescent="0.2">
      <c r="A173" s="138">
        <v>44287</v>
      </c>
      <c r="B173" s="140">
        <v>83</v>
      </c>
      <c r="C173" s="140">
        <v>88</v>
      </c>
      <c r="D173" s="140">
        <v>80</v>
      </c>
      <c r="E173" s="140">
        <v>74</v>
      </c>
      <c r="H173" s="140"/>
      <c r="I173" s="140"/>
      <c r="J173" s="140"/>
      <c r="K173" s="140"/>
    </row>
    <row r="174" spans="1:11" x14ac:dyDescent="0.2">
      <c r="A174" s="138">
        <v>44317</v>
      </c>
      <c r="B174" s="140">
        <v>83</v>
      </c>
      <c r="C174" s="140">
        <v>88</v>
      </c>
      <c r="D174" s="140">
        <v>81</v>
      </c>
      <c r="E174" s="140">
        <v>73</v>
      </c>
      <c r="H174" s="140"/>
      <c r="I174" s="140"/>
      <c r="J174" s="140"/>
      <c r="K174" s="140"/>
    </row>
    <row r="175" spans="1:11" x14ac:dyDescent="0.2">
      <c r="A175" s="138">
        <v>44348</v>
      </c>
      <c r="B175" s="140">
        <v>81</v>
      </c>
      <c r="C175" s="140">
        <v>87</v>
      </c>
      <c r="D175" s="140">
        <v>79</v>
      </c>
      <c r="E175" s="140">
        <v>71</v>
      </c>
      <c r="H175" s="140"/>
      <c r="I175" s="140"/>
      <c r="J175" s="140"/>
      <c r="K175" s="140"/>
    </row>
    <row r="176" spans="1:11" x14ac:dyDescent="0.2">
      <c r="A176" s="138">
        <v>44378</v>
      </c>
      <c r="B176" s="140">
        <v>80</v>
      </c>
      <c r="C176" s="140">
        <v>86</v>
      </c>
      <c r="D176" s="140">
        <v>81</v>
      </c>
      <c r="E176" s="140">
        <v>65</v>
      </c>
      <c r="H176" s="140"/>
      <c r="I176" s="140"/>
      <c r="J176" s="140"/>
      <c r="K176" s="140"/>
    </row>
    <row r="177" spans="1:11" x14ac:dyDescent="0.2">
      <c r="A177" s="138">
        <v>44409</v>
      </c>
      <c r="B177" s="140">
        <v>75</v>
      </c>
      <c r="C177" s="140">
        <v>81</v>
      </c>
      <c r="D177" s="140">
        <v>81</v>
      </c>
      <c r="E177" s="140">
        <v>59</v>
      </c>
      <c r="H177" s="140"/>
      <c r="I177" s="140"/>
      <c r="J177" s="140"/>
      <c r="K177" s="140"/>
    </row>
    <row r="178" spans="1:11" x14ac:dyDescent="0.2">
      <c r="A178" s="138">
        <v>44440</v>
      </c>
      <c r="B178" s="140">
        <v>76</v>
      </c>
      <c r="C178" s="140">
        <v>82</v>
      </c>
      <c r="D178" s="140">
        <v>81</v>
      </c>
      <c r="E178" s="140">
        <v>61</v>
      </c>
      <c r="H178" s="140"/>
      <c r="I178" s="140"/>
      <c r="J178" s="140"/>
      <c r="K178" s="140"/>
    </row>
    <row r="179" spans="1:11" x14ac:dyDescent="0.2">
      <c r="A179" s="138">
        <v>44470</v>
      </c>
      <c r="B179" s="140">
        <v>80</v>
      </c>
      <c r="C179" s="140">
        <v>86</v>
      </c>
      <c r="D179" s="140">
        <v>84</v>
      </c>
      <c r="E179" s="140">
        <v>65</v>
      </c>
      <c r="H179" s="140"/>
      <c r="I179" s="140"/>
      <c r="J179" s="140"/>
      <c r="K179" s="140"/>
    </row>
    <row r="180" spans="1:11" x14ac:dyDescent="0.2">
      <c r="A180" s="138">
        <v>44501</v>
      </c>
      <c r="B180" s="140">
        <v>83</v>
      </c>
      <c r="C180" s="140">
        <v>89</v>
      </c>
      <c r="D180" s="140">
        <v>84</v>
      </c>
      <c r="E180" s="140">
        <v>69</v>
      </c>
      <c r="H180" s="140"/>
      <c r="I180" s="140"/>
      <c r="J180" s="140"/>
      <c r="K180" s="140"/>
    </row>
    <row r="181" spans="1:11" x14ac:dyDescent="0.2">
      <c r="A181" s="138">
        <v>44531</v>
      </c>
      <c r="B181" s="140">
        <v>84</v>
      </c>
      <c r="C181" s="140">
        <v>90</v>
      </c>
      <c r="D181" s="140">
        <v>85</v>
      </c>
      <c r="E181" s="140">
        <v>71</v>
      </c>
      <c r="H181" s="140"/>
      <c r="I181" s="140"/>
      <c r="J181" s="140"/>
      <c r="K181" s="140"/>
    </row>
    <row r="182" spans="1:11" x14ac:dyDescent="0.2">
      <c r="A182" s="138">
        <v>44562</v>
      </c>
      <c r="B182" s="140">
        <v>83</v>
      </c>
      <c r="C182" s="140">
        <v>89</v>
      </c>
      <c r="D182" s="140">
        <v>82</v>
      </c>
      <c r="E182" s="140">
        <v>69</v>
      </c>
      <c r="H182" s="105"/>
      <c r="I182" s="105"/>
      <c r="J182" s="105"/>
      <c r="K182" s="105"/>
    </row>
    <row r="183" spans="1:11" x14ac:dyDescent="0.2">
      <c r="A183" s="138">
        <v>44593</v>
      </c>
      <c r="B183" s="140">
        <v>81</v>
      </c>
      <c r="C183" s="140">
        <v>89</v>
      </c>
      <c r="D183" s="140">
        <v>80</v>
      </c>
      <c r="E183" s="140">
        <v>65</v>
      </c>
    </row>
    <row r="184" spans="1:11" x14ac:dyDescent="0.2">
      <c r="A184" s="138">
        <v>44621</v>
      </c>
      <c r="B184" s="140">
        <v>79</v>
      </c>
      <c r="C184" s="140">
        <v>87</v>
      </c>
      <c r="D184" s="140">
        <v>70</v>
      </c>
      <c r="E184" s="140">
        <v>66</v>
      </c>
    </row>
    <row r="185" spans="1:11" x14ac:dyDescent="0.2">
      <c r="A185" s="138">
        <v>44652</v>
      </c>
      <c r="B185" s="140">
        <v>77</v>
      </c>
      <c r="C185" s="140">
        <v>86</v>
      </c>
      <c r="D185" s="140">
        <v>73</v>
      </c>
      <c r="E185" s="140">
        <v>61</v>
      </c>
    </row>
    <row r="186" spans="1:11" x14ac:dyDescent="0.2">
      <c r="A186" s="138">
        <v>44682</v>
      </c>
      <c r="B186" s="140">
        <v>69</v>
      </c>
      <c r="C186" s="140">
        <v>78</v>
      </c>
      <c r="D186" s="140">
        <v>63</v>
      </c>
      <c r="E186" s="140">
        <v>53</v>
      </c>
    </row>
    <row r="187" spans="1:11" x14ac:dyDescent="0.2">
      <c r="A187" s="138">
        <v>44713</v>
      </c>
      <c r="B187" s="140">
        <v>67</v>
      </c>
      <c r="C187" s="140">
        <v>76</v>
      </c>
      <c r="D187" s="140">
        <v>61</v>
      </c>
      <c r="E187" s="140">
        <v>48</v>
      </c>
    </row>
    <row r="188" spans="1:11" x14ac:dyDescent="0.2">
      <c r="A188" s="138">
        <v>44743</v>
      </c>
      <c r="B188" s="140">
        <v>55</v>
      </c>
      <c r="C188" s="140">
        <v>64</v>
      </c>
      <c r="D188" s="140">
        <v>49</v>
      </c>
      <c r="E188" s="140">
        <v>37</v>
      </c>
    </row>
    <row r="189" spans="1:11" x14ac:dyDescent="0.2">
      <c r="A189" s="138">
        <v>44774</v>
      </c>
      <c r="B189" s="140">
        <v>49</v>
      </c>
      <c r="C189" s="140">
        <v>57</v>
      </c>
      <c r="D189" s="140">
        <v>47</v>
      </c>
      <c r="E189" s="140">
        <v>32</v>
      </c>
    </row>
    <row r="190" spans="1:11" x14ac:dyDescent="0.2">
      <c r="A190" s="138">
        <v>44805</v>
      </c>
      <c r="B190" s="140">
        <v>46</v>
      </c>
      <c r="C190" s="140">
        <v>54</v>
      </c>
      <c r="D190" s="140">
        <v>46</v>
      </c>
      <c r="E190" s="140">
        <v>31</v>
      </c>
    </row>
    <row r="191" spans="1:11" x14ac:dyDescent="0.2">
      <c r="A191" s="138">
        <v>44835</v>
      </c>
      <c r="B191" s="140">
        <v>38</v>
      </c>
      <c r="C191" s="140">
        <v>45</v>
      </c>
      <c r="D191" s="140">
        <v>35</v>
      </c>
      <c r="E191" s="140">
        <v>25</v>
      </c>
    </row>
    <row r="192" spans="1:11" x14ac:dyDescent="0.2">
      <c r="A192" s="138">
        <v>44866</v>
      </c>
      <c r="B192" s="140">
        <v>33</v>
      </c>
      <c r="C192" s="140">
        <v>39</v>
      </c>
      <c r="D192" s="140">
        <v>31</v>
      </c>
      <c r="E192" s="140">
        <v>20</v>
      </c>
    </row>
    <row r="193" spans="1:5" x14ac:dyDescent="0.2">
      <c r="A193" s="138">
        <v>44896</v>
      </c>
      <c r="B193" s="140">
        <v>31</v>
      </c>
      <c r="C193" s="140">
        <v>36</v>
      </c>
      <c r="D193" s="140">
        <v>35</v>
      </c>
      <c r="E193" s="140">
        <v>20</v>
      </c>
    </row>
    <row r="194" spans="1:5" x14ac:dyDescent="0.2">
      <c r="A194" s="138">
        <v>44927</v>
      </c>
      <c r="B194" s="140">
        <v>35</v>
      </c>
      <c r="C194" s="140">
        <v>40</v>
      </c>
      <c r="D194" s="140">
        <v>37</v>
      </c>
      <c r="E194" s="140">
        <v>23</v>
      </c>
    </row>
    <row r="195" spans="1:5" x14ac:dyDescent="0.2">
      <c r="A195" s="138">
        <v>44958</v>
      </c>
      <c r="B195" s="140">
        <v>42</v>
      </c>
      <c r="C195" s="140">
        <v>47</v>
      </c>
      <c r="D195" s="140">
        <v>48</v>
      </c>
      <c r="E195" s="140">
        <v>28</v>
      </c>
    </row>
    <row r="196" spans="1:5" x14ac:dyDescent="0.2">
      <c r="A196" s="138">
        <v>44986</v>
      </c>
      <c r="B196" s="140">
        <v>44</v>
      </c>
      <c r="C196" s="140">
        <v>49</v>
      </c>
      <c r="D196" s="140">
        <v>47</v>
      </c>
      <c r="E196" s="140">
        <v>31</v>
      </c>
    </row>
    <row r="197" spans="1:5" x14ac:dyDescent="0.2">
      <c r="A197" s="138">
        <v>45017</v>
      </c>
      <c r="B197" s="140">
        <v>45</v>
      </c>
      <c r="C197" s="140">
        <v>51</v>
      </c>
      <c r="D197" s="140">
        <v>50</v>
      </c>
      <c r="E197" s="140">
        <v>31</v>
      </c>
    </row>
    <row r="198" spans="1:5" x14ac:dyDescent="0.2">
      <c r="A198" s="138">
        <v>45047</v>
      </c>
      <c r="B198" s="140">
        <v>50</v>
      </c>
      <c r="C198" s="140">
        <v>56</v>
      </c>
      <c r="D198" s="140">
        <v>56</v>
      </c>
      <c r="E198" s="140">
        <v>33</v>
      </c>
    </row>
    <row r="199" spans="1:5" x14ac:dyDescent="0.2">
      <c r="A199" s="138">
        <v>45078</v>
      </c>
      <c r="B199" s="140">
        <v>55</v>
      </c>
      <c r="C199" s="140">
        <v>61</v>
      </c>
      <c r="D199" s="140">
        <v>62</v>
      </c>
      <c r="E199" s="140">
        <v>37</v>
      </c>
    </row>
    <row r="200" spans="1:5" x14ac:dyDescent="0.2">
      <c r="A200" s="138">
        <v>45108</v>
      </c>
      <c r="B200" s="140">
        <v>56</v>
      </c>
      <c r="C200" s="140">
        <v>62</v>
      </c>
      <c r="D200" s="140">
        <v>59</v>
      </c>
      <c r="E200" s="140">
        <v>40</v>
      </c>
    </row>
    <row r="201" spans="1:5" x14ac:dyDescent="0.2">
      <c r="A201" s="138">
        <v>45139</v>
      </c>
      <c r="B201" s="140">
        <v>50</v>
      </c>
      <c r="C201" s="140">
        <v>57</v>
      </c>
      <c r="D201" s="140">
        <v>55</v>
      </c>
      <c r="E201" s="140">
        <v>35</v>
      </c>
    </row>
    <row r="202" spans="1:5" x14ac:dyDescent="0.2">
      <c r="A202" s="138">
        <v>45170</v>
      </c>
      <c r="B202" s="140">
        <v>44</v>
      </c>
      <c r="C202" s="140">
        <v>50</v>
      </c>
      <c r="D202" s="140">
        <v>49</v>
      </c>
      <c r="E202" s="140">
        <v>30</v>
      </c>
    </row>
    <row r="203" spans="1:5" x14ac:dyDescent="0.2">
      <c r="A203" s="138">
        <v>45200</v>
      </c>
      <c r="B203" s="140">
        <v>40</v>
      </c>
      <c r="C203" s="140">
        <v>46</v>
      </c>
      <c r="D203" s="140">
        <v>44</v>
      </c>
      <c r="E203" s="140">
        <v>26</v>
      </c>
    </row>
    <row r="204" spans="1:5" x14ac:dyDescent="0.2">
      <c r="A204" s="138">
        <v>45231</v>
      </c>
      <c r="B204" s="140">
        <v>34</v>
      </c>
      <c r="C204" s="140">
        <v>40</v>
      </c>
      <c r="D204" s="140">
        <v>39</v>
      </c>
      <c r="E204" s="140">
        <v>21</v>
      </c>
    </row>
    <row r="205" spans="1:5" x14ac:dyDescent="0.2">
      <c r="A205" s="138">
        <v>45261</v>
      </c>
      <c r="B205" s="140">
        <v>37</v>
      </c>
      <c r="C205" s="140">
        <v>41</v>
      </c>
      <c r="D205" s="140">
        <v>45</v>
      </c>
      <c r="E205" s="140">
        <v>24</v>
      </c>
    </row>
    <row r="206" spans="1:5" x14ac:dyDescent="0.2">
      <c r="A206" s="138">
        <v>45292</v>
      </c>
      <c r="B206" s="140">
        <v>44</v>
      </c>
      <c r="C206" s="140">
        <v>48</v>
      </c>
      <c r="D206" s="140">
        <v>57</v>
      </c>
      <c r="E206" s="140">
        <v>29</v>
      </c>
    </row>
    <row r="207" spans="1:5" x14ac:dyDescent="0.2">
      <c r="A207" s="138">
        <v>45323</v>
      </c>
      <c r="B207" s="140">
        <v>48</v>
      </c>
      <c r="C207" s="140">
        <v>52</v>
      </c>
      <c r="D207" s="140">
        <v>60</v>
      </c>
      <c r="E207" s="140">
        <v>32</v>
      </c>
    </row>
    <row r="208" spans="1:5" x14ac:dyDescent="0.2">
      <c r="A208" s="138">
        <v>45352</v>
      </c>
      <c r="B208" s="140">
        <v>51</v>
      </c>
      <c r="C208" s="140">
        <v>56</v>
      </c>
      <c r="D208" s="140">
        <v>62</v>
      </c>
      <c r="E208" s="140">
        <v>34</v>
      </c>
    </row>
    <row r="209" spans="1:5" x14ac:dyDescent="0.2">
      <c r="A209" s="138">
        <v>45383</v>
      </c>
      <c r="B209" s="145">
        <v>51</v>
      </c>
      <c r="C209" s="145">
        <v>57</v>
      </c>
      <c r="D209" s="145">
        <v>60</v>
      </c>
      <c r="E209" s="145">
        <v>34</v>
      </c>
    </row>
    <row r="210" spans="1:5" x14ac:dyDescent="0.2">
      <c r="A210" s="138">
        <v>45413</v>
      </c>
      <c r="B210" s="140">
        <v>45</v>
      </c>
      <c r="C210" s="140">
        <v>51</v>
      </c>
      <c r="D210" s="140">
        <v>51</v>
      </c>
      <c r="E210" s="140">
        <v>30</v>
      </c>
    </row>
    <row r="211" spans="1:5" x14ac:dyDescent="0.2">
      <c r="A211" s="138">
        <v>45444</v>
      </c>
      <c r="B211" s="140">
        <v>43</v>
      </c>
      <c r="C211" s="140">
        <v>48</v>
      </c>
      <c r="D211" s="140">
        <v>47</v>
      </c>
      <c r="E211" s="140">
        <v>28</v>
      </c>
    </row>
    <row r="212" spans="1:5" x14ac:dyDescent="0.2">
      <c r="A212" s="138">
        <v>45474</v>
      </c>
      <c r="B212" s="140">
        <v>41</v>
      </c>
      <c r="C212" s="140">
        <v>46</v>
      </c>
      <c r="D212" s="140">
        <v>48</v>
      </c>
      <c r="E212" s="140">
        <v>27</v>
      </c>
    </row>
    <row r="213" spans="1:5" x14ac:dyDescent="0.2">
      <c r="A213" s="138">
        <v>45505</v>
      </c>
      <c r="B213" s="140">
        <v>39</v>
      </c>
      <c r="C213" s="140">
        <v>44</v>
      </c>
      <c r="D213" s="140">
        <v>49</v>
      </c>
      <c r="E213" s="140">
        <v>25</v>
      </c>
    </row>
    <row r="214" spans="1:5" x14ac:dyDescent="0.2">
      <c r="A214" s="138">
        <v>45536</v>
      </c>
      <c r="B214" s="140">
        <v>41</v>
      </c>
      <c r="C214" s="140">
        <v>45</v>
      </c>
      <c r="D214" s="140">
        <v>53</v>
      </c>
      <c r="E214" s="140">
        <v>27</v>
      </c>
    </row>
    <row r="215" spans="1:5" x14ac:dyDescent="0.2">
      <c r="A215" s="138">
        <v>45566</v>
      </c>
      <c r="B215" s="140">
        <v>43</v>
      </c>
      <c r="C215" s="140">
        <v>47</v>
      </c>
      <c r="D215" s="140">
        <v>57</v>
      </c>
      <c r="E215" s="140">
        <v>29</v>
      </c>
    </row>
    <row r="216" spans="1:5" x14ac:dyDescent="0.2">
      <c r="A216" s="138">
        <v>45597</v>
      </c>
      <c r="B216" s="140">
        <v>46</v>
      </c>
      <c r="C216" s="140">
        <v>48</v>
      </c>
      <c r="D216" s="140">
        <v>63</v>
      </c>
      <c r="E216" s="140">
        <v>32</v>
      </c>
    </row>
    <row r="217" spans="1:5" x14ac:dyDescent="0.2">
      <c r="A217" s="138">
        <v>45627</v>
      </c>
      <c r="B217" s="140">
        <v>46</v>
      </c>
      <c r="C217" s="140">
        <v>48</v>
      </c>
      <c r="D217" s="140">
        <v>66</v>
      </c>
      <c r="E217" s="140">
        <v>31</v>
      </c>
    </row>
    <row r="218" spans="1:5" x14ac:dyDescent="0.2">
      <c r="A218" s="138">
        <v>45658</v>
      </c>
      <c r="B218" s="140">
        <v>47</v>
      </c>
      <c r="C218" s="140">
        <v>50</v>
      </c>
      <c r="D218" s="140">
        <v>59</v>
      </c>
      <c r="E218" s="140">
        <v>32</v>
      </c>
    </row>
    <row r="219" spans="1:5" x14ac:dyDescent="0.2">
      <c r="A219" s="138">
        <v>45689</v>
      </c>
      <c r="B219" s="140">
        <v>42</v>
      </c>
      <c r="C219" s="140">
        <v>46</v>
      </c>
      <c r="D219" s="140">
        <v>47</v>
      </c>
      <c r="E219" s="140">
        <v>29</v>
      </c>
    </row>
    <row r="220" spans="1:5" x14ac:dyDescent="0.2">
      <c r="A220" s="138">
        <v>45717</v>
      </c>
      <c r="B220" s="140">
        <v>39</v>
      </c>
      <c r="C220" s="140">
        <v>43</v>
      </c>
      <c r="D220" s="140">
        <v>47</v>
      </c>
      <c r="E220" s="140">
        <v>24</v>
      </c>
    </row>
    <row r="221" spans="1:5" x14ac:dyDescent="0.2">
      <c r="A221" s="138">
        <v>45748</v>
      </c>
      <c r="B221" s="140">
        <v>40</v>
      </c>
      <c r="C221" s="140">
        <v>45</v>
      </c>
      <c r="D221" s="140">
        <v>43</v>
      </c>
      <c r="E221" s="140">
        <v>25</v>
      </c>
    </row>
    <row r="222" spans="1:5" x14ac:dyDescent="0.2">
      <c r="A222" s="138">
        <v>45778</v>
      </c>
      <c r="B222" s="140">
        <v>34</v>
      </c>
      <c r="C222" s="140">
        <v>37</v>
      </c>
      <c r="D222" s="140">
        <v>42</v>
      </c>
      <c r="E222" s="140">
        <v>23</v>
      </c>
    </row>
    <row r="223" spans="1:5" x14ac:dyDescent="0.2">
      <c r="A223" s="138">
        <v>45809</v>
      </c>
      <c r="B223" s="140">
        <v>32</v>
      </c>
      <c r="C223" s="140">
        <v>35</v>
      </c>
      <c r="D223" s="140">
        <v>40</v>
      </c>
      <c r="E223" s="140">
        <v>21</v>
      </c>
    </row>
    <row r="224" spans="1:5" x14ac:dyDescent="0.2">
      <c r="A224" s="138">
        <v>45839</v>
      </c>
      <c r="B224" s="140">
        <v>33</v>
      </c>
      <c r="C224" s="140">
        <v>36</v>
      </c>
      <c r="D224" s="140">
        <v>43</v>
      </c>
      <c r="E224" s="140">
        <v>20</v>
      </c>
    </row>
    <row r="225" spans="1:5" x14ac:dyDescent="0.2">
      <c r="A225" s="138">
        <v>45870</v>
      </c>
      <c r="B225" s="140">
        <v>32</v>
      </c>
      <c r="C225" s="140">
        <v>34</v>
      </c>
      <c r="D225" s="140">
        <v>43</v>
      </c>
      <c r="E225" s="140">
        <v>22</v>
      </c>
    </row>
    <row r="226" spans="1:5" x14ac:dyDescent="0.2">
      <c r="A226" s="138">
        <v>45901</v>
      </c>
      <c r="B226" s="140">
        <v>32</v>
      </c>
      <c r="C226" s="140">
        <v>34</v>
      </c>
      <c r="D226" s="140">
        <v>45</v>
      </c>
      <c r="E226" s="140">
        <v>21</v>
      </c>
    </row>
    <row r="227" spans="1:5" x14ac:dyDescent="0.2">
      <c r="A227" s="138">
        <v>45931</v>
      </c>
      <c r="B227" s="140">
        <v>37</v>
      </c>
      <c r="C227" s="140">
        <v>39</v>
      </c>
      <c r="D227" s="140">
        <v>54</v>
      </c>
      <c r="E227" s="140">
        <v>25</v>
      </c>
    </row>
    <row r="228" spans="1:5" x14ac:dyDescent="0.2">
      <c r="A228" s="138">
        <v>45962</v>
      </c>
      <c r="B228" s="140">
        <v>38</v>
      </c>
      <c r="C228" s="140">
        <v>41</v>
      </c>
      <c r="D228" s="140">
        <v>51</v>
      </c>
      <c r="E228" s="140">
        <v>26</v>
      </c>
    </row>
    <row r="229" spans="1:5" x14ac:dyDescent="0.2">
      <c r="A229" s="138">
        <v>45992</v>
      </c>
      <c r="B229" s="140">
        <v>39</v>
      </c>
      <c r="C229" s="140">
        <v>42</v>
      </c>
      <c r="D229" s="140">
        <v>52</v>
      </c>
      <c r="E229" s="140">
        <v>26</v>
      </c>
    </row>
    <row r="230" spans="1:5" x14ac:dyDescent="0.2">
      <c r="A230" s="138">
        <v>46023</v>
      </c>
      <c r="B230" s="140">
        <v>37</v>
      </c>
      <c r="C230" s="140">
        <v>41</v>
      </c>
      <c r="D230" s="140">
        <v>49</v>
      </c>
      <c r="E230" s="140">
        <v>23</v>
      </c>
    </row>
    <row r="231" spans="1:5" x14ac:dyDescent="0.2">
      <c r="A231" s="138">
        <v>46054</v>
      </c>
      <c r="B231" s="140">
        <v>37</v>
      </c>
      <c r="C231" s="140">
        <v>41</v>
      </c>
      <c r="D231" s="140">
        <v>47</v>
      </c>
      <c r="E231" s="140">
        <v>22</v>
      </c>
    </row>
    <row r="232" spans="1:5" x14ac:dyDescent="0.2">
      <c r="A232" s="138">
        <v>46082</v>
      </c>
      <c r="B232" s="140">
        <v>38</v>
      </c>
      <c r="C232" s="140">
        <v>41</v>
      </c>
      <c r="D232" s="140">
        <v>49</v>
      </c>
      <c r="E232" s="140">
        <v>25</v>
      </c>
    </row>
    <row r="233" spans="1:5" x14ac:dyDescent="0.2">
      <c r="A233" s="138">
        <v>46113</v>
      </c>
      <c r="B233" s="140">
        <v>34</v>
      </c>
      <c r="C233" s="140">
        <v>37</v>
      </c>
      <c r="D233" s="140">
        <v>42</v>
      </c>
      <c r="E233" s="140">
        <v>22</v>
      </c>
    </row>
    <row r="234" spans="1:5" x14ac:dyDescent="0.2">
      <c r="A234" s="138">
        <v>46143</v>
      </c>
      <c r="B234" s="140">
        <v>37</v>
      </c>
      <c r="C234" s="140">
        <v>40</v>
      </c>
      <c r="D234" s="140">
        <v>45</v>
      </c>
      <c r="E234" s="140">
        <v>25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8"/>
  <sheetViews>
    <sheetView workbookViewId="0">
      <pane ySplit="1" topLeftCell="A35" activePane="bottomLeft" state="frozen"/>
      <selection pane="bottomLeft" activeCell="G48" sqref="G48"/>
    </sheetView>
  </sheetViews>
  <sheetFormatPr defaultColWidth="9.28515625" defaultRowHeight="15" x14ac:dyDescent="0.25"/>
  <cols>
    <col min="1" max="1" width="9.28515625" style="50"/>
    <col min="2" max="2" width="11.5703125" style="50" customWidth="1"/>
    <col min="3" max="4" width="11.28515625" style="50" customWidth="1"/>
    <col min="5" max="5" width="10.7109375" style="50" customWidth="1"/>
    <col min="6" max="16384" width="9.28515625" style="50"/>
  </cols>
  <sheetData>
    <row r="1" spans="1:5" x14ac:dyDescent="0.25">
      <c r="A1" s="50" t="s">
        <v>0</v>
      </c>
      <c r="B1" s="42" t="s">
        <v>119</v>
      </c>
      <c r="C1" s="42" t="s">
        <v>120</v>
      </c>
      <c r="D1" s="42" t="s">
        <v>121</v>
      </c>
      <c r="E1" s="42" t="s">
        <v>122</v>
      </c>
    </row>
    <row r="2" spans="1:5" x14ac:dyDescent="0.25">
      <c r="A2" s="50">
        <v>1979</v>
      </c>
      <c r="B2"/>
      <c r="C2">
        <v>48</v>
      </c>
      <c r="D2">
        <v>37</v>
      </c>
      <c r="E2">
        <v>32</v>
      </c>
    </row>
    <row r="3" spans="1:5" x14ac:dyDescent="0.25">
      <c r="A3" s="50">
        <v>1980</v>
      </c>
      <c r="B3"/>
      <c r="C3">
        <v>19</v>
      </c>
      <c r="D3">
        <v>26</v>
      </c>
      <c r="E3">
        <v>17</v>
      </c>
    </row>
    <row r="4" spans="1:5" x14ac:dyDescent="0.25">
      <c r="A4" s="50">
        <v>1981</v>
      </c>
      <c r="B4"/>
      <c r="C4">
        <v>8</v>
      </c>
      <c r="D4">
        <v>16</v>
      </c>
      <c r="E4">
        <v>14</v>
      </c>
    </row>
    <row r="5" spans="1:5" x14ac:dyDescent="0.25">
      <c r="A5" s="50">
        <v>1982</v>
      </c>
      <c r="B5"/>
      <c r="C5">
        <v>15</v>
      </c>
      <c r="D5">
        <v>28</v>
      </c>
      <c r="E5">
        <v>18</v>
      </c>
    </row>
    <row r="6" spans="1:5" x14ac:dyDescent="0.25">
      <c r="A6" s="50">
        <v>1983</v>
      </c>
      <c r="B6"/>
      <c r="C6">
        <v>52</v>
      </c>
      <c r="D6">
        <v>60</v>
      </c>
      <c r="E6">
        <v>48</v>
      </c>
    </row>
    <row r="7" spans="1:5" x14ac:dyDescent="0.25">
      <c r="A7" s="50">
        <v>1984</v>
      </c>
      <c r="B7"/>
      <c r="C7">
        <v>52</v>
      </c>
      <c r="D7">
        <v>52</v>
      </c>
      <c r="E7">
        <v>41</v>
      </c>
    </row>
    <row r="8" spans="1:5" x14ac:dyDescent="0.25">
      <c r="A8" s="50">
        <v>1985</v>
      </c>
      <c r="B8">
        <v>55</v>
      </c>
      <c r="C8">
        <v>58</v>
      </c>
      <c r="D8">
        <v>62</v>
      </c>
      <c r="E8">
        <v>47</v>
      </c>
    </row>
    <row r="9" spans="1:5" x14ac:dyDescent="0.25">
      <c r="A9" s="50">
        <v>1986</v>
      </c>
      <c r="B9">
        <v>60</v>
      </c>
      <c r="C9">
        <v>62</v>
      </c>
      <c r="D9">
        <v>67</v>
      </c>
      <c r="E9">
        <v>53</v>
      </c>
    </row>
    <row r="10" spans="1:5" x14ac:dyDescent="0.25">
      <c r="A10" s="50">
        <v>1987</v>
      </c>
      <c r="B10">
        <v>56</v>
      </c>
      <c r="C10">
        <v>60</v>
      </c>
      <c r="D10">
        <v>60</v>
      </c>
      <c r="E10">
        <v>45</v>
      </c>
    </row>
    <row r="11" spans="1:5" x14ac:dyDescent="0.25">
      <c r="A11" s="50">
        <v>1988</v>
      </c>
      <c r="B11">
        <v>53</v>
      </c>
      <c r="C11">
        <v>57</v>
      </c>
      <c r="D11">
        <v>59</v>
      </c>
      <c r="E11">
        <v>43</v>
      </c>
    </row>
    <row r="12" spans="1:5" x14ac:dyDescent="0.25">
      <c r="A12" s="50">
        <v>1989</v>
      </c>
      <c r="B12">
        <v>48</v>
      </c>
      <c r="C12">
        <v>50</v>
      </c>
      <c r="D12">
        <v>58</v>
      </c>
      <c r="E12">
        <v>37</v>
      </c>
    </row>
    <row r="13" spans="1:5" x14ac:dyDescent="0.25">
      <c r="A13" s="50">
        <v>1990</v>
      </c>
      <c r="B13">
        <v>34</v>
      </c>
      <c r="C13">
        <v>36</v>
      </c>
      <c r="D13">
        <v>42</v>
      </c>
      <c r="E13">
        <v>27</v>
      </c>
    </row>
    <row r="14" spans="1:5" x14ac:dyDescent="0.25">
      <c r="A14" s="50">
        <v>1991</v>
      </c>
      <c r="B14">
        <v>36</v>
      </c>
      <c r="C14">
        <v>36</v>
      </c>
      <c r="D14">
        <v>49</v>
      </c>
      <c r="E14">
        <v>29</v>
      </c>
    </row>
    <row r="15" spans="1:5" x14ac:dyDescent="0.25">
      <c r="A15" s="50">
        <v>1992</v>
      </c>
      <c r="B15">
        <v>48</v>
      </c>
      <c r="C15">
        <v>50</v>
      </c>
      <c r="D15">
        <v>59</v>
      </c>
      <c r="E15">
        <v>39</v>
      </c>
    </row>
    <row r="16" spans="1:5" x14ac:dyDescent="0.25">
      <c r="A16" s="50">
        <v>1993</v>
      </c>
      <c r="B16">
        <v>59</v>
      </c>
      <c r="C16">
        <v>62</v>
      </c>
      <c r="D16">
        <v>68</v>
      </c>
      <c r="E16">
        <v>49</v>
      </c>
    </row>
    <row r="17" spans="1:9" x14ac:dyDescent="0.25">
      <c r="A17" s="50">
        <v>1994</v>
      </c>
      <c r="B17">
        <v>56</v>
      </c>
      <c r="C17">
        <v>61</v>
      </c>
      <c r="D17">
        <v>62</v>
      </c>
      <c r="E17">
        <v>44</v>
      </c>
    </row>
    <row r="18" spans="1:9" x14ac:dyDescent="0.25">
      <c r="A18" s="50">
        <v>1995</v>
      </c>
      <c r="B18">
        <v>47</v>
      </c>
      <c r="C18">
        <v>50</v>
      </c>
      <c r="D18">
        <v>56</v>
      </c>
      <c r="E18">
        <v>35</v>
      </c>
      <c r="I18" s="51"/>
    </row>
    <row r="19" spans="1:9" x14ac:dyDescent="0.25">
      <c r="A19" s="50">
        <v>1996</v>
      </c>
      <c r="B19">
        <v>57</v>
      </c>
      <c r="C19">
        <v>61</v>
      </c>
      <c r="D19">
        <v>64</v>
      </c>
      <c r="E19">
        <v>46</v>
      </c>
      <c r="I19" s="51"/>
    </row>
    <row r="20" spans="1:9" x14ac:dyDescent="0.25">
      <c r="A20" s="50">
        <v>1997</v>
      </c>
      <c r="B20">
        <v>57</v>
      </c>
      <c r="C20">
        <v>60</v>
      </c>
      <c r="D20">
        <v>66</v>
      </c>
      <c r="E20">
        <v>45</v>
      </c>
      <c r="I20" s="51"/>
    </row>
    <row r="21" spans="1:9" x14ac:dyDescent="0.25">
      <c r="A21" s="50">
        <v>1998</v>
      </c>
      <c r="B21">
        <v>70</v>
      </c>
      <c r="C21">
        <v>76</v>
      </c>
      <c r="D21">
        <v>78</v>
      </c>
      <c r="E21">
        <v>54</v>
      </c>
      <c r="I21" s="51"/>
    </row>
    <row r="22" spans="1:9" x14ac:dyDescent="0.25">
      <c r="A22" s="50">
        <v>1999</v>
      </c>
      <c r="B22">
        <v>73</v>
      </c>
      <c r="C22">
        <v>80</v>
      </c>
      <c r="D22">
        <v>80</v>
      </c>
      <c r="E22">
        <v>54</v>
      </c>
      <c r="I22" s="51"/>
    </row>
    <row r="23" spans="1:9" x14ac:dyDescent="0.25">
      <c r="A23" s="50">
        <v>2000</v>
      </c>
      <c r="B23">
        <v>62</v>
      </c>
      <c r="C23">
        <v>69</v>
      </c>
      <c r="D23">
        <v>69</v>
      </c>
      <c r="E23">
        <v>45</v>
      </c>
      <c r="I23" s="51"/>
    </row>
    <row r="24" spans="1:9" x14ac:dyDescent="0.25">
      <c r="A24" s="50">
        <v>2001</v>
      </c>
      <c r="B24">
        <v>56</v>
      </c>
      <c r="C24">
        <v>61</v>
      </c>
      <c r="D24">
        <v>63</v>
      </c>
      <c r="E24">
        <v>41</v>
      </c>
      <c r="I24" s="51"/>
    </row>
    <row r="25" spans="1:9" x14ac:dyDescent="0.25">
      <c r="A25" s="50">
        <v>2002</v>
      </c>
      <c r="B25">
        <v>61</v>
      </c>
      <c r="C25">
        <v>66</v>
      </c>
      <c r="D25">
        <v>69</v>
      </c>
      <c r="E25">
        <v>46</v>
      </c>
      <c r="I25" s="51"/>
    </row>
    <row r="26" spans="1:9" x14ac:dyDescent="0.25">
      <c r="A26" s="50">
        <v>2003</v>
      </c>
      <c r="B26">
        <v>64</v>
      </c>
      <c r="C26">
        <v>70</v>
      </c>
      <c r="D26">
        <v>72</v>
      </c>
      <c r="E26">
        <v>47</v>
      </c>
      <c r="I26" s="51"/>
    </row>
    <row r="27" spans="1:9" x14ac:dyDescent="0.25">
      <c r="A27" s="50">
        <v>2004</v>
      </c>
      <c r="B27">
        <v>68</v>
      </c>
      <c r="C27">
        <v>75</v>
      </c>
      <c r="D27">
        <v>76</v>
      </c>
      <c r="E27">
        <v>51</v>
      </c>
      <c r="I27" s="51"/>
    </row>
    <row r="28" spans="1:9" x14ac:dyDescent="0.25">
      <c r="A28" s="50">
        <v>2005</v>
      </c>
      <c r="B28">
        <v>67</v>
      </c>
      <c r="C28">
        <v>73</v>
      </c>
      <c r="D28">
        <v>75</v>
      </c>
      <c r="E28">
        <v>50</v>
      </c>
      <c r="I28" s="51"/>
    </row>
    <row r="29" spans="1:9" x14ac:dyDescent="0.25">
      <c r="A29" s="50">
        <v>2006</v>
      </c>
      <c r="B29">
        <v>42</v>
      </c>
      <c r="C29">
        <v>45</v>
      </c>
      <c r="D29">
        <v>51</v>
      </c>
      <c r="E29">
        <v>30</v>
      </c>
      <c r="I29" s="51"/>
    </row>
    <row r="30" spans="1:9" x14ac:dyDescent="0.25">
      <c r="A30" s="50">
        <v>2007</v>
      </c>
      <c r="B30">
        <v>27</v>
      </c>
      <c r="C30">
        <v>27</v>
      </c>
      <c r="D30">
        <v>37</v>
      </c>
      <c r="E30">
        <v>21</v>
      </c>
      <c r="I30" s="51"/>
    </row>
    <row r="31" spans="1:9" x14ac:dyDescent="0.25">
      <c r="A31" s="50">
        <v>2008</v>
      </c>
      <c r="B31">
        <v>16</v>
      </c>
      <c r="C31">
        <v>16</v>
      </c>
      <c r="D31">
        <v>25</v>
      </c>
      <c r="E31">
        <v>14</v>
      </c>
      <c r="I31" s="51"/>
    </row>
    <row r="32" spans="1:9" x14ac:dyDescent="0.25">
      <c r="A32" s="50">
        <v>2009</v>
      </c>
      <c r="B32">
        <v>15</v>
      </c>
      <c r="C32">
        <v>14</v>
      </c>
      <c r="D32">
        <v>24</v>
      </c>
      <c r="E32">
        <v>13</v>
      </c>
    </row>
    <row r="33" spans="1:5" x14ac:dyDescent="0.25">
      <c r="A33" s="50">
        <v>2010</v>
      </c>
      <c r="B33">
        <v>16</v>
      </c>
      <c r="C33">
        <v>16</v>
      </c>
      <c r="D33">
        <v>23</v>
      </c>
      <c r="E33">
        <v>12</v>
      </c>
    </row>
    <row r="34" spans="1:5" x14ac:dyDescent="0.25">
      <c r="A34" s="50">
        <v>2011</v>
      </c>
      <c r="B34">
        <v>16</v>
      </c>
      <c r="C34">
        <v>16</v>
      </c>
      <c r="D34">
        <v>22</v>
      </c>
      <c r="E34">
        <v>13</v>
      </c>
    </row>
    <row r="35" spans="1:5" x14ac:dyDescent="0.25">
      <c r="A35" s="50">
        <v>2012</v>
      </c>
      <c r="B35">
        <v>34</v>
      </c>
      <c r="C35">
        <v>36</v>
      </c>
      <c r="D35">
        <v>41</v>
      </c>
      <c r="E35">
        <v>27</v>
      </c>
    </row>
    <row r="36" spans="1:5" x14ac:dyDescent="0.25">
      <c r="A36" s="50">
        <v>2013</v>
      </c>
      <c r="B36">
        <v>51</v>
      </c>
      <c r="C36">
        <v>55</v>
      </c>
      <c r="D36">
        <v>58</v>
      </c>
      <c r="E36">
        <v>39</v>
      </c>
    </row>
    <row r="37" spans="1:5" x14ac:dyDescent="0.25">
      <c r="A37" s="50">
        <v>2014</v>
      </c>
      <c r="B37">
        <v>52</v>
      </c>
      <c r="C37">
        <v>56</v>
      </c>
      <c r="D37">
        <v>61</v>
      </c>
      <c r="E37">
        <v>39</v>
      </c>
    </row>
    <row r="38" spans="1:5" x14ac:dyDescent="0.25">
      <c r="A38" s="50">
        <v>2015</v>
      </c>
      <c r="B38" s="15">
        <v>58.583333333333336</v>
      </c>
      <c r="C38" s="15">
        <v>63.75</v>
      </c>
      <c r="D38" s="15">
        <v>65.916666666666671</v>
      </c>
      <c r="E38" s="15">
        <v>43.25</v>
      </c>
    </row>
    <row r="39" spans="1:5" x14ac:dyDescent="0.25">
      <c r="A39" s="50">
        <v>2016</v>
      </c>
      <c r="B39" s="15">
        <v>60.833333333333336</v>
      </c>
      <c r="C39" s="15">
        <v>66.666666666666671</v>
      </c>
      <c r="D39" s="15">
        <v>67.166666666666671</v>
      </c>
      <c r="E39" s="15">
        <v>45.083333333333336</v>
      </c>
    </row>
    <row r="40" spans="1:5" x14ac:dyDescent="0.25">
      <c r="A40" s="50">
        <v>2017</v>
      </c>
      <c r="B40" s="15">
        <v>67.666666666666671</v>
      </c>
      <c r="C40" s="15">
        <v>73.916666666666671</v>
      </c>
      <c r="D40" s="15">
        <v>75.916666666666671</v>
      </c>
      <c r="E40" s="15">
        <v>50.083333333333336</v>
      </c>
    </row>
    <row r="41" spans="1:5" x14ac:dyDescent="0.25">
      <c r="A41" s="50">
        <v>2018</v>
      </c>
      <c r="B41" s="15">
        <v>67.083333333333329</v>
      </c>
      <c r="C41" s="15">
        <v>73.25</v>
      </c>
      <c r="D41" s="15">
        <v>73.75</v>
      </c>
      <c r="E41" s="15">
        <v>50.083333333333336</v>
      </c>
    </row>
    <row r="42" spans="1:5" x14ac:dyDescent="0.25">
      <c r="A42" s="50">
        <v>2019</v>
      </c>
      <c r="B42" s="15">
        <v>66.083333333333329</v>
      </c>
      <c r="C42" s="15">
        <v>72.333333333333329</v>
      </c>
      <c r="D42" s="15">
        <v>71.75</v>
      </c>
      <c r="E42" s="15">
        <v>49.333333333333336</v>
      </c>
    </row>
    <row r="43" spans="1:5" x14ac:dyDescent="0.25">
      <c r="A43" s="50">
        <v>2020</v>
      </c>
      <c r="B43" s="15">
        <v>70</v>
      </c>
      <c r="C43" s="15">
        <v>75.833333333333329</v>
      </c>
      <c r="D43" s="15">
        <v>73.666666666666671</v>
      </c>
      <c r="E43" s="15">
        <v>55.583333333333336</v>
      </c>
    </row>
    <row r="44" spans="1:5" x14ac:dyDescent="0.25">
      <c r="A44" s="50">
        <v>2021</v>
      </c>
      <c r="B44" s="83">
        <v>81.166666666666671</v>
      </c>
      <c r="C44" s="83">
        <v>87</v>
      </c>
      <c r="D44" s="83">
        <v>81.833333333333329</v>
      </c>
      <c r="E44" s="83">
        <v>68.333333333333329</v>
      </c>
    </row>
    <row r="45" spans="1:5" x14ac:dyDescent="0.25">
      <c r="A45" s="50">
        <v>2022</v>
      </c>
      <c r="B45" s="50">
        <v>59</v>
      </c>
      <c r="C45" s="50">
        <v>67</v>
      </c>
      <c r="D45" s="50">
        <v>56</v>
      </c>
      <c r="E45" s="50">
        <v>44</v>
      </c>
    </row>
    <row r="46" spans="1:5" x14ac:dyDescent="0.25">
      <c r="A46" s="50">
        <v>2023</v>
      </c>
      <c r="B46" s="50">
        <v>44</v>
      </c>
      <c r="C46" s="50">
        <v>50</v>
      </c>
      <c r="D46" s="50">
        <v>49</v>
      </c>
      <c r="E46" s="50">
        <v>30</v>
      </c>
    </row>
    <row r="47" spans="1:5" x14ac:dyDescent="0.25">
      <c r="A47" s="50">
        <v>2024</v>
      </c>
      <c r="B47" s="50">
        <v>45</v>
      </c>
      <c r="C47" s="50">
        <v>49</v>
      </c>
      <c r="D47" s="50">
        <v>56</v>
      </c>
      <c r="E47" s="50">
        <v>30</v>
      </c>
    </row>
    <row r="48" spans="1:5" x14ac:dyDescent="0.25">
      <c r="A48" s="50">
        <v>2025</v>
      </c>
      <c r="B48" s="50">
        <v>37</v>
      </c>
      <c r="C48" s="50">
        <v>40</v>
      </c>
      <c r="D48" s="50">
        <v>47</v>
      </c>
      <c r="E48" s="50">
        <v>25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"/>
  <sheetViews>
    <sheetView topLeftCell="A7" workbookViewId="0"/>
  </sheetViews>
  <sheetFormatPr defaultRowHeight="15" x14ac:dyDescent="0.25"/>
  <cols>
    <col min="2" max="2" width="12.7109375" customWidth="1"/>
  </cols>
  <sheetData>
    <row r="1" spans="1:2" x14ac:dyDescent="0.25">
      <c r="A1" t="s">
        <v>146</v>
      </c>
      <c r="B1" t="s">
        <v>147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A5DB-13B3-4C4D-93B5-CCC97C3983AD}">
  <dimension ref="A1:H127"/>
  <sheetViews>
    <sheetView zoomScaleNormal="100" workbookViewId="0">
      <pane xSplit="1" ySplit="1" topLeftCell="B83" activePane="bottomRight" state="frozen"/>
      <selection pane="topRight" activeCell="B1" sqref="B1"/>
      <selection pane="bottomLeft" activeCell="A2" sqref="A2"/>
      <selection pane="bottomRight" activeCell="T118" sqref="T118"/>
    </sheetView>
  </sheetViews>
  <sheetFormatPr defaultRowHeight="15" x14ac:dyDescent="0.25"/>
  <sheetData>
    <row r="1" spans="1:5" ht="25.5" customHeight="1" x14ac:dyDescent="0.25">
      <c r="A1" t="s">
        <v>16</v>
      </c>
      <c r="B1" t="s">
        <v>374</v>
      </c>
      <c r="C1" t="s">
        <v>375</v>
      </c>
      <c r="D1" t="s">
        <v>376</v>
      </c>
    </row>
    <row r="2" spans="1:5" x14ac:dyDescent="0.25">
      <c r="A2" s="65" t="s">
        <v>306</v>
      </c>
      <c r="B2" s="158">
        <v>916.84213453770269</v>
      </c>
      <c r="C2" s="73">
        <v>50700.136945291983</v>
      </c>
      <c r="D2" s="66">
        <v>138.19999999999999</v>
      </c>
      <c r="E2" s="66"/>
    </row>
    <row r="3" spans="1:5" x14ac:dyDescent="0.25">
      <c r="A3" s="65" t="s">
        <v>307</v>
      </c>
      <c r="B3" s="158">
        <v>900.25936850320181</v>
      </c>
      <c r="C3" s="73">
        <v>50467.875540694367</v>
      </c>
      <c r="D3" s="66">
        <v>140.1</v>
      </c>
      <c r="E3" s="66"/>
    </row>
    <row r="4" spans="1:5" x14ac:dyDescent="0.25">
      <c r="A4" s="65" t="s">
        <v>308</v>
      </c>
      <c r="B4" s="158">
        <v>914.37208579799255</v>
      </c>
      <c r="C4" s="73">
        <v>50193.003734516969</v>
      </c>
      <c r="D4" s="66">
        <v>137.19999999999999</v>
      </c>
      <c r="E4" s="66"/>
    </row>
    <row r="5" spans="1:5" x14ac:dyDescent="0.25">
      <c r="A5" s="65" t="s">
        <v>309</v>
      </c>
      <c r="B5" s="158">
        <v>935.57137123700716</v>
      </c>
      <c r="C5" s="73">
        <v>50372.810091299281</v>
      </c>
      <c r="D5" s="66">
        <v>134.6</v>
      </c>
      <c r="E5" s="66"/>
    </row>
    <row r="6" spans="1:5" x14ac:dyDescent="0.25">
      <c r="A6" s="65" t="s">
        <v>310</v>
      </c>
      <c r="B6" s="158">
        <v>947.97811292103665</v>
      </c>
      <c r="C6" s="73">
        <v>50761.462263139787</v>
      </c>
      <c r="D6" s="66">
        <v>133.9</v>
      </c>
      <c r="E6" s="66"/>
    </row>
    <row r="7" spans="1:5" x14ac:dyDescent="0.25">
      <c r="A7" s="65" t="s">
        <v>311</v>
      </c>
      <c r="B7" s="158">
        <v>953.88553832846912</v>
      </c>
      <c r="C7" s="73">
        <v>50300.115167228782</v>
      </c>
      <c r="D7" s="66">
        <v>131.80000000000001</v>
      </c>
      <c r="E7" s="66"/>
    </row>
    <row r="8" spans="1:5" x14ac:dyDescent="0.25">
      <c r="A8" s="65" t="s">
        <v>312</v>
      </c>
      <c r="B8" s="158">
        <v>969.50536676920967</v>
      </c>
      <c r="C8" s="73">
        <v>49481.7349735588</v>
      </c>
      <c r="D8" s="66">
        <v>127.6</v>
      </c>
      <c r="E8" s="66"/>
    </row>
    <row r="9" spans="1:5" x14ac:dyDescent="0.25">
      <c r="A9" s="65" t="s">
        <v>313</v>
      </c>
      <c r="B9" s="158">
        <v>957.90830298758146</v>
      </c>
      <c r="C9" s="73">
        <v>48995.056493632335</v>
      </c>
      <c r="D9" s="66">
        <v>127.9</v>
      </c>
      <c r="E9" s="66"/>
    </row>
    <row r="10" spans="1:5" x14ac:dyDescent="0.25">
      <c r="A10" s="65" t="s">
        <v>314</v>
      </c>
      <c r="B10" s="158">
        <v>964.02347361836553</v>
      </c>
      <c r="C10" s="73">
        <v>48566.049887672707</v>
      </c>
      <c r="D10" s="66">
        <v>125.9</v>
      </c>
      <c r="E10" s="66"/>
    </row>
    <row r="11" spans="1:5" x14ac:dyDescent="0.25">
      <c r="A11" s="65" t="s">
        <v>315</v>
      </c>
      <c r="B11" s="75">
        <v>989.31969007319583</v>
      </c>
      <c r="C11" s="159">
        <v>47942.062823770495</v>
      </c>
      <c r="D11" s="66">
        <v>121.1</v>
      </c>
      <c r="E11" s="66"/>
    </row>
    <row r="12" spans="1:5" x14ac:dyDescent="0.25">
      <c r="A12" s="65" t="s">
        <v>316</v>
      </c>
      <c r="B12" s="75">
        <v>971.79677475019594</v>
      </c>
      <c r="C12" s="159">
        <v>47630.926805033014</v>
      </c>
      <c r="D12" s="66">
        <v>122.5</v>
      </c>
      <c r="E12" s="66"/>
    </row>
    <row r="13" spans="1:5" x14ac:dyDescent="0.25">
      <c r="A13" s="65" t="s">
        <v>317</v>
      </c>
      <c r="B13" s="75">
        <v>953.19582142362231</v>
      </c>
      <c r="C13" s="159">
        <v>47262.302417279359</v>
      </c>
      <c r="D13" s="70">
        <v>124</v>
      </c>
      <c r="E13" s="70"/>
    </row>
    <row r="14" spans="1:5" x14ac:dyDescent="0.25">
      <c r="A14" s="65" t="s">
        <v>318</v>
      </c>
      <c r="B14" s="75">
        <v>973.81500951094006</v>
      </c>
      <c r="C14" s="159">
        <v>47117.51520585049</v>
      </c>
      <c r="D14" s="70">
        <v>121</v>
      </c>
      <c r="E14" s="70"/>
    </row>
    <row r="15" spans="1:5" x14ac:dyDescent="0.25">
      <c r="A15" s="65" t="s">
        <v>319</v>
      </c>
      <c r="B15" s="75">
        <v>1018.6110356015988</v>
      </c>
      <c r="C15" s="159">
        <v>46838.578555245957</v>
      </c>
      <c r="D15" s="71">
        <v>115</v>
      </c>
      <c r="E15" s="71"/>
    </row>
    <row r="16" spans="1:5" x14ac:dyDescent="0.25">
      <c r="A16" s="65" t="s">
        <v>320</v>
      </c>
      <c r="B16" s="75">
        <v>966.03489250382586</v>
      </c>
      <c r="C16" s="159">
        <v>46318.375913683689</v>
      </c>
      <c r="D16" s="71">
        <v>119.9</v>
      </c>
      <c r="E16" s="71"/>
    </row>
    <row r="17" spans="1:5" x14ac:dyDescent="0.25">
      <c r="A17" s="65" t="s">
        <v>321</v>
      </c>
      <c r="B17" s="75">
        <v>998.89197953422888</v>
      </c>
      <c r="C17" s="159">
        <v>46295.664141613932</v>
      </c>
      <c r="D17" s="71">
        <v>115.9</v>
      </c>
      <c r="E17" s="71"/>
    </row>
    <row r="18" spans="1:5" x14ac:dyDescent="0.25">
      <c r="A18" s="65" t="s">
        <v>322</v>
      </c>
      <c r="B18" s="75">
        <v>994.76032867098513</v>
      </c>
      <c r="C18" s="159">
        <v>46160.05686483199</v>
      </c>
      <c r="D18" s="71">
        <v>116</v>
      </c>
      <c r="E18" s="71"/>
    </row>
    <row r="19" spans="1:5" x14ac:dyDescent="0.25">
      <c r="A19" s="65" t="s">
        <v>323</v>
      </c>
      <c r="B19" s="75">
        <v>999.76411954478351</v>
      </c>
      <c r="C19" s="159">
        <v>46337.191331089496</v>
      </c>
      <c r="D19" s="71">
        <v>115.9</v>
      </c>
      <c r="E19" s="71"/>
    </row>
    <row r="20" spans="1:5" x14ac:dyDescent="0.25">
      <c r="A20" s="65" t="s">
        <v>324</v>
      </c>
      <c r="B20" s="75">
        <v>991.18391003427462</v>
      </c>
      <c r="C20" s="159">
        <v>46185.224480719793</v>
      </c>
      <c r="D20" s="71">
        <v>116.5</v>
      </c>
      <c r="E20" s="71"/>
    </row>
    <row r="21" spans="1:5" x14ac:dyDescent="0.25">
      <c r="A21" s="65" t="s">
        <v>325</v>
      </c>
      <c r="B21" s="75">
        <v>969.23646046567478</v>
      </c>
      <c r="C21" s="159">
        <v>46083.98654548503</v>
      </c>
      <c r="D21" s="71">
        <v>118.9</v>
      </c>
      <c r="E21" s="71"/>
    </row>
    <row r="22" spans="1:5" x14ac:dyDescent="0.25">
      <c r="A22" s="65" t="s">
        <v>377</v>
      </c>
      <c r="B22" s="75">
        <v>983.38964047477009</v>
      </c>
      <c r="C22" s="159">
        <v>46302.850889739071</v>
      </c>
      <c r="D22" s="71">
        <v>117.7</v>
      </c>
      <c r="E22" s="71"/>
    </row>
    <row r="23" spans="1:5" x14ac:dyDescent="0.25">
      <c r="A23" s="65" t="s">
        <v>327</v>
      </c>
      <c r="B23" s="75">
        <v>980.36796942292256</v>
      </c>
      <c r="C23" s="159">
        <v>46756.714293254518</v>
      </c>
      <c r="D23" s="71">
        <v>119.2</v>
      </c>
      <c r="E23" s="71"/>
    </row>
    <row r="24" spans="1:5" x14ac:dyDescent="0.25">
      <c r="A24" s="65" t="s">
        <v>328</v>
      </c>
      <c r="B24" s="75">
        <v>971.94574575467402</v>
      </c>
      <c r="C24" s="159">
        <v>46668.812120612951</v>
      </c>
      <c r="D24" s="71">
        <v>120</v>
      </c>
      <c r="E24" s="71"/>
    </row>
    <row r="25" spans="1:5" x14ac:dyDescent="0.25">
      <c r="A25" s="65" t="s">
        <v>329</v>
      </c>
      <c r="B25" s="75">
        <v>970.92895894446019</v>
      </c>
      <c r="C25" s="159">
        <v>47095.348048251763</v>
      </c>
      <c r="D25" s="71">
        <v>121.3</v>
      </c>
      <c r="E25" s="71"/>
    </row>
    <row r="26" spans="1:5" x14ac:dyDescent="0.25">
      <c r="A26" s="65" t="s">
        <v>330</v>
      </c>
      <c r="B26" s="75">
        <v>998.59134199827224</v>
      </c>
      <c r="C26" s="159">
        <v>48192.341036192367</v>
      </c>
      <c r="D26" s="71">
        <v>120.7</v>
      </c>
      <c r="E26" s="71"/>
    </row>
    <row r="27" spans="1:5" x14ac:dyDescent="0.25">
      <c r="A27" s="65" t="s">
        <v>331</v>
      </c>
      <c r="B27" s="75">
        <v>1050.994240908999</v>
      </c>
      <c r="C27" s="159">
        <v>48097.140228999386</v>
      </c>
      <c r="D27" s="71">
        <v>114.4</v>
      </c>
      <c r="E27" s="71"/>
    </row>
    <row r="28" spans="1:5" x14ac:dyDescent="0.25">
      <c r="A28" s="65" t="s">
        <v>332</v>
      </c>
      <c r="B28" s="75">
        <v>1022.2543424057527</v>
      </c>
      <c r="C28" s="159">
        <v>47780.844214797769</v>
      </c>
      <c r="D28" s="71">
        <v>116.9</v>
      </c>
      <c r="E28" s="71"/>
    </row>
    <row r="29" spans="1:5" x14ac:dyDescent="0.25">
      <c r="A29" s="65" t="s">
        <v>333</v>
      </c>
      <c r="B29" s="75">
        <v>1022.4236160363386</v>
      </c>
      <c r="C29" s="159">
        <v>47853.457491135821</v>
      </c>
      <c r="D29" s="71">
        <v>117</v>
      </c>
      <c r="E29" s="71"/>
    </row>
    <row r="30" spans="1:5" x14ac:dyDescent="0.25">
      <c r="A30" s="65" t="s">
        <v>334</v>
      </c>
      <c r="B30" s="75">
        <v>1000.3975830266136</v>
      </c>
      <c r="C30" s="159">
        <v>47870.158008926359</v>
      </c>
      <c r="D30" s="71">
        <v>119.6</v>
      </c>
      <c r="E30" s="71"/>
    </row>
    <row r="31" spans="1:5" x14ac:dyDescent="0.25">
      <c r="A31" s="66" t="s">
        <v>335</v>
      </c>
      <c r="B31" s="75">
        <v>991.40023965735543</v>
      </c>
      <c r="C31" s="159">
        <v>47338.441556862461</v>
      </c>
      <c r="D31" s="71">
        <v>119.4</v>
      </c>
      <c r="E31" s="71"/>
    </row>
    <row r="32" spans="1:5" x14ac:dyDescent="0.25">
      <c r="A32" s="66" t="s">
        <v>336</v>
      </c>
      <c r="B32" s="75">
        <v>972.66541499863968</v>
      </c>
      <c r="C32" s="159">
        <v>46326.897691156941</v>
      </c>
      <c r="D32" s="71">
        <v>119.1</v>
      </c>
      <c r="E32" s="71"/>
    </row>
    <row r="33" spans="1:5" x14ac:dyDescent="0.25">
      <c r="A33" s="66" t="s">
        <v>337</v>
      </c>
      <c r="B33" s="75">
        <v>973.4373697320159</v>
      </c>
      <c r="C33" s="159">
        <v>45801.443797011343</v>
      </c>
      <c r="D33" s="71">
        <v>117.6</v>
      </c>
      <c r="E33" s="71"/>
    </row>
    <row r="34" spans="1:5" x14ac:dyDescent="0.25">
      <c r="A34" s="66" t="s">
        <v>338</v>
      </c>
      <c r="B34" s="75">
        <v>996.18383802326673</v>
      </c>
      <c r="C34" s="159">
        <v>47142.173521060664</v>
      </c>
      <c r="D34" s="71">
        <v>118.3</v>
      </c>
      <c r="E34" s="71"/>
    </row>
    <row r="35" spans="1:5" x14ac:dyDescent="0.25">
      <c r="A35" s="66" t="s">
        <v>339</v>
      </c>
      <c r="B35" s="75">
        <v>944.98710276039139</v>
      </c>
      <c r="C35" s="159">
        <v>47222.21182261363</v>
      </c>
      <c r="D35" s="71">
        <v>124.9</v>
      </c>
      <c r="E35" s="71"/>
    </row>
    <row r="36" spans="1:5" x14ac:dyDescent="0.25">
      <c r="A36" s="66" t="s">
        <v>340</v>
      </c>
      <c r="B36" s="75">
        <v>958.47793963091817</v>
      </c>
      <c r="C36" s="159">
        <v>46624.084967006507</v>
      </c>
      <c r="D36" s="71">
        <v>121.6</v>
      </c>
      <c r="E36" s="71"/>
    </row>
    <row r="37" spans="1:5" x14ac:dyDescent="0.25">
      <c r="A37" s="66" t="s">
        <v>341</v>
      </c>
      <c r="B37" s="75">
        <v>949.10713990355453</v>
      </c>
      <c r="C37" s="159">
        <v>46156.625473336215</v>
      </c>
      <c r="D37" s="71">
        <v>121.6</v>
      </c>
      <c r="E37" s="71"/>
    </row>
    <row r="38" spans="1:5" x14ac:dyDescent="0.25">
      <c r="A38" s="66" t="s">
        <v>342</v>
      </c>
      <c r="B38" s="75">
        <v>1051.6054713765893</v>
      </c>
      <c r="C38" s="159">
        <v>45936.719442799505</v>
      </c>
      <c r="D38" s="71">
        <v>109.2</v>
      </c>
      <c r="E38" s="71"/>
    </row>
    <row r="39" spans="1:5" x14ac:dyDescent="0.25">
      <c r="A39" s="66" t="s">
        <v>343</v>
      </c>
      <c r="B39" s="75">
        <v>1047.9796915122315</v>
      </c>
      <c r="C39" s="159">
        <v>45612.624393258688</v>
      </c>
      <c r="D39" s="71">
        <v>108.8</v>
      </c>
      <c r="E39" s="71"/>
    </row>
    <row r="40" spans="1:5" x14ac:dyDescent="0.25">
      <c r="A40" s="66" t="s">
        <v>344</v>
      </c>
      <c r="B40" s="75">
        <v>1044.064099212432</v>
      </c>
      <c r="C40" s="159">
        <v>45272.777383387373</v>
      </c>
      <c r="D40" s="71">
        <v>108.4</v>
      </c>
      <c r="E40" s="71"/>
    </row>
    <row r="41" spans="1:5" x14ac:dyDescent="0.25">
      <c r="A41" s="66" t="s">
        <v>345</v>
      </c>
      <c r="B41" s="75">
        <v>1044.8239267383221</v>
      </c>
      <c r="C41" s="159">
        <v>45013.557566757081</v>
      </c>
      <c r="D41" s="71">
        <v>107.7</v>
      </c>
      <c r="E41" s="71"/>
    </row>
    <row r="42" spans="1:5" x14ac:dyDescent="0.25">
      <c r="A42" s="66" t="s">
        <v>346</v>
      </c>
      <c r="B42" s="75">
        <v>1041.6349895647625</v>
      </c>
      <c r="C42" s="159">
        <v>44741.966386170723</v>
      </c>
      <c r="D42" s="71">
        <v>107.4</v>
      </c>
      <c r="E42" s="71"/>
    </row>
    <row r="43" spans="1:5" x14ac:dyDescent="0.25">
      <c r="A43" s="66" t="s">
        <v>347</v>
      </c>
      <c r="B43" s="75">
        <v>989.65234118740534</v>
      </c>
      <c r="C43" s="159">
        <v>44439.054353546919</v>
      </c>
      <c r="D43" s="71">
        <v>112.31799883655074</v>
      </c>
      <c r="E43" s="71"/>
    </row>
    <row r="44" spans="1:5" x14ac:dyDescent="0.25">
      <c r="A44" s="66" t="s">
        <v>348</v>
      </c>
      <c r="B44" s="75">
        <v>974.22464080331042</v>
      </c>
      <c r="C44" s="159">
        <v>43997.46220992531</v>
      </c>
      <c r="D44" s="71">
        <v>112.90379130024519</v>
      </c>
      <c r="E44" s="71"/>
    </row>
    <row r="45" spans="1:5" x14ac:dyDescent="0.25">
      <c r="A45" s="66" t="s">
        <v>349</v>
      </c>
      <c r="B45" s="75">
        <v>994.67950434898069</v>
      </c>
      <c r="C45" s="159">
        <v>44046.144553076723</v>
      </c>
      <c r="D45" s="71">
        <v>110.70436346706722</v>
      </c>
      <c r="E45" s="71"/>
    </row>
    <row r="46" spans="1:5" x14ac:dyDescent="0.25">
      <c r="A46" s="66" t="s">
        <v>350</v>
      </c>
      <c r="B46" s="75">
        <v>1014.5335077007596</v>
      </c>
      <c r="C46" s="159">
        <v>44341.126377660228</v>
      </c>
      <c r="D46" s="71">
        <v>109.26481491515905</v>
      </c>
      <c r="E46" s="71"/>
    </row>
    <row r="47" spans="1:5" x14ac:dyDescent="0.25">
      <c r="A47" s="66" t="s">
        <v>351</v>
      </c>
      <c r="B47" s="75">
        <v>1030.3430890183679</v>
      </c>
      <c r="C47" s="159">
        <v>44297.08605720078</v>
      </c>
      <c r="D47" s="71">
        <v>107.48139752993265</v>
      </c>
      <c r="E47" s="71"/>
    </row>
    <row r="48" spans="1:5" x14ac:dyDescent="0.25">
      <c r="A48" s="66" t="s">
        <v>352</v>
      </c>
      <c r="B48" s="75">
        <v>1008.7631145091708</v>
      </c>
      <c r="C48" s="159">
        <v>44135.828266007964</v>
      </c>
      <c r="D48" s="71">
        <v>109.4311890052565</v>
      </c>
      <c r="E48" s="71"/>
    </row>
    <row r="49" spans="1:5" x14ac:dyDescent="0.25">
      <c r="A49" s="66" t="s">
        <v>353</v>
      </c>
      <c r="B49" s="75">
        <v>980.36579868343699</v>
      </c>
      <c r="C49" s="159">
        <v>44261.287019337236</v>
      </c>
      <c r="D49" s="71">
        <v>112.92079282249652</v>
      </c>
      <c r="E49" s="71"/>
    </row>
    <row r="50" spans="1:5" x14ac:dyDescent="0.25">
      <c r="A50" s="66" t="s">
        <v>354</v>
      </c>
      <c r="B50" s="75">
        <v>1027.1370014706622</v>
      </c>
      <c r="C50" s="159">
        <v>44568.204900599012</v>
      </c>
      <c r="D50" s="71">
        <v>108.47677777352472</v>
      </c>
      <c r="E50" s="71"/>
    </row>
    <row r="51" spans="1:5" x14ac:dyDescent="0.25">
      <c r="A51" s="66" t="s">
        <v>355</v>
      </c>
      <c r="B51" s="75">
        <v>1012.0001519320532</v>
      </c>
      <c r="C51" s="159">
        <v>44828.406594746994</v>
      </c>
      <c r="D51" s="71">
        <v>110.74209452726649</v>
      </c>
      <c r="E51" s="71"/>
    </row>
    <row r="52" spans="1:5" x14ac:dyDescent="0.25">
      <c r="A52" s="66" t="s">
        <v>356</v>
      </c>
      <c r="B52" s="75">
        <v>1032.2276588307484</v>
      </c>
      <c r="C52" s="73">
        <v>45773.499631891675</v>
      </c>
      <c r="D52" s="71">
        <v>110.86095988684662</v>
      </c>
      <c r="E52" s="71"/>
    </row>
    <row r="53" spans="1:5" x14ac:dyDescent="0.25">
      <c r="A53" s="66" t="s">
        <v>360</v>
      </c>
      <c r="B53" s="75">
        <v>1029.8435772209195</v>
      </c>
      <c r="C53" s="73">
        <v>46339.637088346703</v>
      </c>
      <c r="D53" s="71">
        <v>112.49193108869105</v>
      </c>
      <c r="E53" s="71"/>
    </row>
    <row r="54" spans="1:5" x14ac:dyDescent="0.25">
      <c r="A54" s="66" t="s">
        <v>361</v>
      </c>
      <c r="B54" s="75">
        <v>1047.8122271540465</v>
      </c>
      <c r="C54" s="73">
        <v>47358.144532439183</v>
      </c>
      <c r="D54" s="71">
        <v>112.99291825661413</v>
      </c>
      <c r="E54" s="71"/>
    </row>
    <row r="55" spans="1:5" x14ac:dyDescent="0.25">
      <c r="A55" s="66" t="s">
        <v>362</v>
      </c>
      <c r="B55" s="75">
        <v>1084.906006331769</v>
      </c>
      <c r="C55" s="73">
        <v>47378.393154922291</v>
      </c>
      <c r="D55" s="71">
        <v>109.17626245594256</v>
      </c>
      <c r="E55" s="71"/>
    </row>
    <row r="56" spans="1:5" x14ac:dyDescent="0.25">
      <c r="A56" s="66" t="s">
        <v>363</v>
      </c>
      <c r="B56" s="75">
        <v>1050.0005723950692</v>
      </c>
      <c r="C56" s="73">
        <v>47199.193708487743</v>
      </c>
      <c r="D56" s="71">
        <v>112.37897137719072</v>
      </c>
      <c r="E56" s="71"/>
    </row>
    <row r="57" spans="1:5" x14ac:dyDescent="0.25">
      <c r="A57" s="66" t="s">
        <v>364</v>
      </c>
      <c r="B57" s="75">
        <v>1048.8007935487572</v>
      </c>
      <c r="C57" s="73">
        <v>47385.252751114771</v>
      </c>
      <c r="D57" s="71">
        <v>112.9510318894317</v>
      </c>
      <c r="E57" s="71"/>
    </row>
    <row r="58" spans="1:5" x14ac:dyDescent="0.25">
      <c r="A58" s="66" t="s">
        <v>365</v>
      </c>
      <c r="B58" s="75">
        <v>1079.6912606929461</v>
      </c>
      <c r="C58" s="73">
        <v>47957.110095200995</v>
      </c>
      <c r="D58" s="71">
        <v>111.04357292014686</v>
      </c>
      <c r="E58" s="71"/>
    </row>
    <row r="59" spans="1:5" x14ac:dyDescent="0.25">
      <c r="A59" s="66" t="s">
        <v>366</v>
      </c>
      <c r="B59" s="75">
        <v>1103.2612275137433</v>
      </c>
      <c r="C59" s="73">
        <v>49413.687711529878</v>
      </c>
      <c r="D59" s="71">
        <v>112.13511837491576</v>
      </c>
      <c r="E59" s="71"/>
    </row>
    <row r="60" spans="1:5" x14ac:dyDescent="0.25">
      <c r="A60" s="66" t="s">
        <v>367</v>
      </c>
      <c r="B60" s="75">
        <v>1092.2322070432435</v>
      </c>
      <c r="C60" s="73">
        <v>49440.752107049157</v>
      </c>
      <c r="D60" s="71">
        <v>113.23078214533714</v>
      </c>
      <c r="E60" s="71"/>
    </row>
    <row r="61" spans="1:5" x14ac:dyDescent="0.25">
      <c r="A61" s="66" t="s">
        <v>368</v>
      </c>
      <c r="B61" s="75">
        <v>1088.8444699304575</v>
      </c>
      <c r="C61" s="73">
        <v>50027.884575555596</v>
      </c>
      <c r="D61" s="71">
        <v>114.95750489176662</v>
      </c>
      <c r="E61" s="71"/>
    </row>
    <row r="62" spans="1:5" x14ac:dyDescent="0.25">
      <c r="A62" s="66" t="s">
        <v>369</v>
      </c>
      <c r="B62" s="75">
        <v>1119.2104285205637</v>
      </c>
      <c r="C62" s="73">
        <v>50973.779642798429</v>
      </c>
      <c r="D62" s="71">
        <v>113.86102725601495</v>
      </c>
      <c r="E62" s="71"/>
    </row>
    <row r="63" spans="1:5" x14ac:dyDescent="0.25">
      <c r="A63" s="66" t="s">
        <v>370</v>
      </c>
      <c r="B63" s="75">
        <v>1195.364524092332</v>
      </c>
      <c r="C63" s="73">
        <v>51946.206304598956</v>
      </c>
      <c r="D63" s="71">
        <v>108.74605459353175</v>
      </c>
      <c r="E63" s="71"/>
    </row>
    <row r="64" spans="1:5" x14ac:dyDescent="0.25">
      <c r="A64" s="66" t="s">
        <v>371</v>
      </c>
      <c r="B64" s="75">
        <v>1094.1306925130821</v>
      </c>
      <c r="C64" s="73">
        <v>52188.857321609081</v>
      </c>
      <c r="D64" s="71">
        <v>119.36082967492835</v>
      </c>
      <c r="E64" s="71"/>
    </row>
    <row r="65" spans="1:8" x14ac:dyDescent="0.25">
      <c r="A65" s="66" t="s">
        <v>372</v>
      </c>
      <c r="B65" s="75">
        <v>1071.5696086552302</v>
      </c>
      <c r="C65" s="73">
        <v>52758.562431282066</v>
      </c>
      <c r="D65" s="71">
        <v>123.20263387883756</v>
      </c>
      <c r="E65" s="71"/>
    </row>
    <row r="66" spans="1:8" x14ac:dyDescent="0.25">
      <c r="A66" s="66" t="s">
        <v>373</v>
      </c>
      <c r="B66" s="75">
        <v>1152.3076388401619</v>
      </c>
      <c r="C66" s="73">
        <v>53431.758526738573</v>
      </c>
      <c r="D66" s="71">
        <v>115.92338001967842</v>
      </c>
      <c r="E66" s="71"/>
    </row>
    <row r="67" spans="1:8" x14ac:dyDescent="0.25">
      <c r="A67" s="66" t="s">
        <v>378</v>
      </c>
      <c r="B67" s="75">
        <v>1143.2705444965914</v>
      </c>
      <c r="C67" s="73">
        <v>53154.736969349098</v>
      </c>
      <c r="D67" s="71">
        <v>116.25594663884257</v>
      </c>
      <c r="E67" s="71"/>
      <c r="G67" s="15"/>
      <c r="H67" s="160"/>
    </row>
    <row r="68" spans="1:8" x14ac:dyDescent="0.25">
      <c r="A68" s="66" t="s">
        <v>379</v>
      </c>
      <c r="B68" s="75">
        <v>1187.233440045969</v>
      </c>
      <c r="C68" s="73">
        <v>52985.105355428183</v>
      </c>
      <c r="D68" s="71">
        <v>111.59730248489778</v>
      </c>
      <c r="E68" s="71"/>
      <c r="G68" s="15"/>
      <c r="H68" s="160"/>
    </row>
    <row r="69" spans="1:8" x14ac:dyDescent="0.25">
      <c r="A69" s="66" t="s">
        <v>380</v>
      </c>
      <c r="B69" s="75">
        <v>1184.7132003414861</v>
      </c>
      <c r="C69" s="73">
        <v>52955.49551744348</v>
      </c>
      <c r="D69" s="71">
        <v>111.77762069155963</v>
      </c>
      <c r="E69" s="71"/>
      <c r="G69" s="15"/>
      <c r="H69" s="160"/>
    </row>
    <row r="70" spans="1:8" x14ac:dyDescent="0.25">
      <c r="A70" s="66" t="s">
        <v>381</v>
      </c>
      <c r="B70" s="161">
        <v>1178.1734189844672</v>
      </c>
      <c r="C70" s="73">
        <v>52868.906714405624</v>
      </c>
      <c r="D70" s="71">
        <v>112.18405088441111</v>
      </c>
      <c r="E70" s="71"/>
      <c r="G70" s="15"/>
      <c r="H70" s="160"/>
    </row>
    <row r="71" spans="1:8" x14ac:dyDescent="0.25">
      <c r="A71" s="66" t="s">
        <v>382</v>
      </c>
      <c r="B71" s="161">
        <v>1250.5038377063699</v>
      </c>
      <c r="C71" s="73">
        <v>53161.351054973871</v>
      </c>
      <c r="D71" s="71">
        <v>106.46787524457481</v>
      </c>
      <c r="E71" s="71"/>
      <c r="G71" s="15"/>
      <c r="H71" s="160"/>
    </row>
    <row r="72" spans="1:8" x14ac:dyDescent="0.25">
      <c r="A72" s="66" t="s">
        <v>383</v>
      </c>
      <c r="B72" s="161">
        <v>1232.1394779341931</v>
      </c>
      <c r="C72" s="73">
        <v>53230.660150950163</v>
      </c>
      <c r="D72" s="71">
        <v>108.18016919527803</v>
      </c>
      <c r="E72" s="71"/>
      <c r="G72" s="15"/>
      <c r="H72" s="160"/>
    </row>
    <row r="73" spans="1:8" x14ac:dyDescent="0.25">
      <c r="A73" s="66" t="s">
        <v>384</v>
      </c>
      <c r="B73" s="161">
        <v>1324.5134138826822</v>
      </c>
      <c r="C73" s="73">
        <v>54041.051571307478</v>
      </c>
      <c r="D73" s="71">
        <v>102.08142970456377</v>
      </c>
      <c r="E73" s="71"/>
      <c r="G73" s="15"/>
      <c r="H73" s="160"/>
    </row>
    <row r="74" spans="1:8" x14ac:dyDescent="0.25">
      <c r="A74" s="66" t="s">
        <v>385</v>
      </c>
      <c r="B74" s="161">
        <v>1221.4058693402239</v>
      </c>
      <c r="C74" s="73">
        <v>54887.036480567498</v>
      </c>
      <c r="D74" s="71">
        <v>112.34397561519876</v>
      </c>
      <c r="E74" s="71"/>
      <c r="G74" s="15"/>
      <c r="H74" s="160"/>
    </row>
    <row r="75" spans="1:8" x14ac:dyDescent="0.25">
      <c r="A75" s="66" t="s">
        <v>386</v>
      </c>
      <c r="B75" s="161">
        <v>1270.1435548323493</v>
      </c>
      <c r="C75" s="73">
        <v>55670.375799045541</v>
      </c>
      <c r="D75" s="71">
        <v>109.93740644615704</v>
      </c>
      <c r="E75" s="71"/>
      <c r="G75" s="15"/>
      <c r="H75" s="160"/>
    </row>
    <row r="76" spans="1:8" x14ac:dyDescent="0.25">
      <c r="A76" s="66" t="s">
        <v>387</v>
      </c>
      <c r="B76" s="161">
        <v>1256.8702840559731</v>
      </c>
      <c r="C76" s="73">
        <v>55875.365630558452</v>
      </c>
      <c r="D76" s="71">
        <v>111.13988121798512</v>
      </c>
      <c r="E76" s="71"/>
      <c r="G76" s="15"/>
      <c r="H76" s="160"/>
    </row>
    <row r="77" spans="1:8" x14ac:dyDescent="0.25">
      <c r="A77" s="66" t="s">
        <v>388</v>
      </c>
      <c r="B77" s="161">
        <v>1248.1437703593731</v>
      </c>
      <c r="C77" s="73">
        <v>56630.046499601915</v>
      </c>
      <c r="D77" s="71">
        <v>113.61026405583144</v>
      </c>
      <c r="E77" s="71"/>
      <c r="G77" s="15"/>
      <c r="H77" s="160"/>
    </row>
    <row r="78" spans="1:8" x14ac:dyDescent="0.25">
      <c r="A78" s="66" t="s">
        <v>389</v>
      </c>
      <c r="B78" s="161">
        <v>1248.1300465467864</v>
      </c>
      <c r="C78" s="73">
        <v>57505.513710455103</v>
      </c>
      <c r="D78" s="71">
        <v>115.18333740453602</v>
      </c>
      <c r="E78" s="71"/>
      <c r="G78" s="15"/>
      <c r="H78" s="160"/>
    </row>
    <row r="79" spans="1:8" x14ac:dyDescent="0.25">
      <c r="A79" s="66" t="s">
        <v>390</v>
      </c>
      <c r="B79" s="161">
        <v>1252.7739610928097</v>
      </c>
      <c r="C79" s="73">
        <v>57055.644775626453</v>
      </c>
      <c r="D79" s="71">
        <v>113.81214151462045</v>
      </c>
      <c r="E79" s="71"/>
      <c r="H79" s="160"/>
    </row>
    <row r="80" spans="1:8" x14ac:dyDescent="0.25">
      <c r="A80" s="66" t="s">
        <v>391</v>
      </c>
      <c r="B80" s="161">
        <v>1257.3750339378987</v>
      </c>
      <c r="C80" s="73">
        <v>56990.851321617185</v>
      </c>
      <c r="D80" s="162">
        <v>113.301512481502</v>
      </c>
      <c r="E80" s="71"/>
      <c r="H80" s="160"/>
    </row>
    <row r="81" spans="1:8" x14ac:dyDescent="0.25">
      <c r="A81" s="66" t="s">
        <v>392</v>
      </c>
      <c r="B81" s="161">
        <v>1277.8856254473483</v>
      </c>
      <c r="C81" s="73">
        <v>56278.043471477271</v>
      </c>
      <c r="D81" s="162">
        <v>110.08859822719191</v>
      </c>
      <c r="E81" s="71"/>
      <c r="H81" s="160"/>
    </row>
    <row r="82" spans="1:8" x14ac:dyDescent="0.25">
      <c r="A82" s="66" t="s">
        <v>397</v>
      </c>
      <c r="B82" s="75">
        <v>1283.0995943091673</v>
      </c>
      <c r="C82" s="73">
        <v>55917.773083068321</v>
      </c>
      <c r="D82" s="162">
        <v>108.95057042157154</v>
      </c>
      <c r="E82" s="71"/>
    </row>
    <row r="83" spans="1:8" x14ac:dyDescent="0.25">
      <c r="A83" s="66" t="s">
        <v>398</v>
      </c>
      <c r="B83" s="75">
        <v>1377.2100729966817</v>
      </c>
      <c r="C83" s="73">
        <v>55459.404266942285</v>
      </c>
      <c r="D83" s="163">
        <v>100.67346542540847</v>
      </c>
      <c r="E83" s="164"/>
    </row>
    <row r="84" spans="1:8" x14ac:dyDescent="0.25">
      <c r="A84" s="66" t="s">
        <v>399</v>
      </c>
      <c r="B84" s="75">
        <v>1351.5730601775374</v>
      </c>
      <c r="C84" s="73">
        <v>54710.246221859154</v>
      </c>
      <c r="D84" s="162">
        <v>101.19735261420612</v>
      </c>
      <c r="E84" s="71"/>
    </row>
    <row r="85" spans="1:8" x14ac:dyDescent="0.25">
      <c r="A85" s="66" t="s">
        <v>400</v>
      </c>
      <c r="B85" s="75">
        <v>1258.3216195808695</v>
      </c>
      <c r="C85" s="73">
        <v>54258.538312374141</v>
      </c>
      <c r="D85" s="74">
        <v>107.79942398678438</v>
      </c>
      <c r="E85" s="71"/>
    </row>
    <row r="86" spans="1:8" x14ac:dyDescent="0.25">
      <c r="A86" s="66" t="s">
        <v>401</v>
      </c>
      <c r="B86" s="75">
        <v>1250.8491267375625</v>
      </c>
      <c r="C86" s="73">
        <v>53891.098513211909</v>
      </c>
      <c r="D86" s="74">
        <v>107.70903013253384</v>
      </c>
      <c r="E86" s="71"/>
    </row>
    <row r="87" spans="1:8" x14ac:dyDescent="0.25">
      <c r="A87" s="66" t="s">
        <v>402</v>
      </c>
      <c r="B87" s="75">
        <v>1285.9761571284782</v>
      </c>
      <c r="C87" s="73">
        <v>53949.897465806775</v>
      </c>
      <c r="D87" s="74">
        <v>104.88121643381447</v>
      </c>
      <c r="E87" s="71"/>
    </row>
    <row r="88" spans="1:8" x14ac:dyDescent="0.25">
      <c r="A88" s="66" t="s">
        <v>403</v>
      </c>
      <c r="B88" s="75">
        <v>1324.1026169014037</v>
      </c>
      <c r="C88" s="73">
        <v>53527.711634919309</v>
      </c>
      <c r="D88" s="74">
        <v>101.06413005999129</v>
      </c>
      <c r="E88" s="71"/>
    </row>
    <row r="89" spans="1:8" x14ac:dyDescent="0.25">
      <c r="A89" s="66" t="s">
        <v>404</v>
      </c>
      <c r="B89" s="75">
        <v>1332.1044595577314</v>
      </c>
      <c r="C89" s="73">
        <v>53865.750856299477</v>
      </c>
      <c r="D89" s="74">
        <v>101.09145433343738</v>
      </c>
      <c r="E89" s="71"/>
    </row>
    <row r="90" spans="1:8" x14ac:dyDescent="0.25">
      <c r="A90" s="66" t="s">
        <v>406</v>
      </c>
      <c r="B90" s="75">
        <v>1312.1745248902378</v>
      </c>
      <c r="C90" s="73">
        <v>54873.718971318318</v>
      </c>
      <c r="D90" s="74">
        <v>104.54729521575734</v>
      </c>
      <c r="E90" s="71"/>
    </row>
    <row r="91" spans="1:8" x14ac:dyDescent="0.25">
      <c r="A91" s="66" t="s">
        <v>409</v>
      </c>
      <c r="B91" s="75">
        <v>1419.8854645491756</v>
      </c>
      <c r="C91" s="73">
        <v>55013.042148117413</v>
      </c>
      <c r="D91" s="74">
        <v>96.861760194130312</v>
      </c>
      <c r="E91" s="71"/>
    </row>
    <row r="92" spans="1:8" x14ac:dyDescent="0.25">
      <c r="A92" s="66" t="s">
        <v>416</v>
      </c>
      <c r="B92" s="75">
        <v>1388.6020170696615</v>
      </c>
      <c r="C92" s="73">
        <v>55259.638575346027</v>
      </c>
      <c r="D92" s="74">
        <v>99.48789843320138</v>
      </c>
      <c r="E92" s="71"/>
    </row>
    <row r="93" spans="1:8" x14ac:dyDescent="0.25">
      <c r="A93" s="66" t="s">
        <v>417</v>
      </c>
      <c r="B93" s="75">
        <v>1391.1038252500703</v>
      </c>
      <c r="C93" s="73">
        <v>55434.139185435037</v>
      </c>
      <c r="D93" s="74">
        <v>99.622577012664721</v>
      </c>
      <c r="E93" s="71"/>
    </row>
    <row r="94" spans="1:8" x14ac:dyDescent="0.25">
      <c r="A94" s="66" t="s">
        <v>418</v>
      </c>
      <c r="B94" s="75">
        <v>1392.1935112175895</v>
      </c>
      <c r="C94" s="73">
        <v>56067.869714412212</v>
      </c>
      <c r="D94" s="74">
        <v>100.68260852863797</v>
      </c>
      <c r="E94" s="71"/>
    </row>
    <row r="95" spans="1:8" x14ac:dyDescent="0.25">
      <c r="A95" s="66" t="s">
        <v>419</v>
      </c>
      <c r="B95" s="75">
        <v>1381.5920803806002</v>
      </c>
      <c r="C95" s="73">
        <v>56071.637310259473</v>
      </c>
      <c r="D95" s="74">
        <v>101.46199827450675</v>
      </c>
      <c r="E95" s="74"/>
    </row>
    <row r="96" spans="1:8" x14ac:dyDescent="0.25">
      <c r="A96" s="66" t="s">
        <v>420</v>
      </c>
      <c r="B96" s="75">
        <v>1377.0250441542878</v>
      </c>
      <c r="C96" s="73">
        <v>55961.092138549226</v>
      </c>
      <c r="D96" s="74">
        <v>101.59781112208861</v>
      </c>
      <c r="E96" s="74"/>
    </row>
    <row r="97" spans="1:5" x14ac:dyDescent="0.25">
      <c r="A97" s="66" t="s">
        <v>421</v>
      </c>
      <c r="B97" s="75">
        <v>1411.8130425469153</v>
      </c>
      <c r="C97" s="73">
        <v>56318.655800978391</v>
      </c>
      <c r="D97" s="74">
        <v>99.727538462492461</v>
      </c>
      <c r="E97" s="74"/>
    </row>
    <row r="98" spans="1:5" x14ac:dyDescent="0.25">
      <c r="A98" s="66" t="s">
        <v>422</v>
      </c>
      <c r="B98" s="75">
        <v>1364.2498011945395</v>
      </c>
      <c r="C98" s="73">
        <v>56780.792771786648</v>
      </c>
      <c r="D98" s="74">
        <v>104.0513121608471</v>
      </c>
      <c r="E98" s="74"/>
    </row>
    <row r="99" spans="1:5" x14ac:dyDescent="0.25">
      <c r="A99" s="66"/>
      <c r="B99" s="75"/>
      <c r="C99" s="73"/>
      <c r="D99" s="74"/>
      <c r="E99" s="74"/>
    </row>
    <row r="100" spans="1:5" x14ac:dyDescent="0.25">
      <c r="A100" s="66"/>
      <c r="B100" s="75"/>
      <c r="C100" s="73"/>
      <c r="D100" s="74"/>
      <c r="E100" s="74"/>
    </row>
    <row r="101" spans="1:5" x14ac:dyDescent="0.25">
      <c r="A101" s="79" t="s">
        <v>394</v>
      </c>
    </row>
    <row r="102" spans="1:5" x14ac:dyDescent="0.25">
      <c r="A102" s="79"/>
    </row>
    <row r="103" spans="1:5" x14ac:dyDescent="0.25">
      <c r="A103" s="79" t="s">
        <v>395</v>
      </c>
    </row>
    <row r="104" spans="1:5" x14ac:dyDescent="0.25">
      <c r="A104" s="79"/>
    </row>
    <row r="105" spans="1:5" x14ac:dyDescent="0.25">
      <c r="A105" s="66" t="s">
        <v>374</v>
      </c>
      <c r="B105" t="s">
        <v>423</v>
      </c>
    </row>
    <row r="106" spans="1:5" x14ac:dyDescent="0.25">
      <c r="A106" s="66" t="s">
        <v>375</v>
      </c>
      <c r="B106" t="s">
        <v>424</v>
      </c>
    </row>
    <row r="107" spans="1:5" x14ac:dyDescent="0.25">
      <c r="A107" s="66" t="s">
        <v>376</v>
      </c>
      <c r="B107" t="s">
        <v>396</v>
      </c>
    </row>
    <row r="108" spans="1:5" x14ac:dyDescent="0.25">
      <c r="A108" s="66"/>
    </row>
    <row r="109" spans="1:5" x14ac:dyDescent="0.25">
      <c r="A109" s="165" t="s">
        <v>425</v>
      </c>
    </row>
    <row r="110" spans="1:5" x14ac:dyDescent="0.25">
      <c r="A110" s="66" t="s">
        <v>374</v>
      </c>
      <c r="B110" s="166" t="s">
        <v>426</v>
      </c>
    </row>
    <row r="112" spans="1:5" x14ac:dyDescent="0.25">
      <c r="A112" s="66" t="s">
        <v>374</v>
      </c>
      <c r="B112" s="80" t="s">
        <v>427</v>
      </c>
    </row>
    <row r="113" spans="1:3" x14ac:dyDescent="0.25">
      <c r="B113" t="s">
        <v>428</v>
      </c>
    </row>
    <row r="114" spans="1:3" x14ac:dyDescent="0.25">
      <c r="B114" s="167" t="s">
        <v>429</v>
      </c>
      <c r="C114" s="167"/>
    </row>
    <row r="115" spans="1:3" x14ac:dyDescent="0.25">
      <c r="B115" s="167"/>
      <c r="C115" s="167"/>
    </row>
    <row r="116" spans="1:3" x14ac:dyDescent="0.25">
      <c r="B116" s="167"/>
      <c r="C116" s="167"/>
    </row>
    <row r="117" spans="1:3" x14ac:dyDescent="0.25">
      <c r="A117" s="165" t="s">
        <v>430</v>
      </c>
      <c r="B117" s="167"/>
      <c r="C117" s="167"/>
    </row>
    <row r="118" spans="1:3" x14ac:dyDescent="0.25">
      <c r="A118" s="66" t="s">
        <v>375</v>
      </c>
      <c r="B118" s="166" t="s">
        <v>431</v>
      </c>
    </row>
    <row r="119" spans="1:3" x14ac:dyDescent="0.25">
      <c r="A119" s="66"/>
    </row>
    <row r="120" spans="1:3" x14ac:dyDescent="0.25">
      <c r="A120" s="66"/>
    </row>
    <row r="121" spans="1:3" x14ac:dyDescent="0.25">
      <c r="A121" s="165" t="s">
        <v>432</v>
      </c>
    </row>
    <row r="123" spans="1:3" x14ac:dyDescent="0.25">
      <c r="A123" s="66" t="s">
        <v>376</v>
      </c>
      <c r="B123" s="80" t="s">
        <v>433</v>
      </c>
    </row>
    <row r="124" spans="1:3" x14ac:dyDescent="0.25">
      <c r="B124" t="s">
        <v>434</v>
      </c>
    </row>
    <row r="125" spans="1:3" x14ac:dyDescent="0.25">
      <c r="B125" t="s">
        <v>435</v>
      </c>
    </row>
    <row r="127" spans="1:3" x14ac:dyDescent="0.25">
      <c r="B127" s="168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topLeftCell="A9" workbookViewId="0">
      <selection activeCell="V33" sqref="V33"/>
    </sheetView>
  </sheetViews>
  <sheetFormatPr defaultColWidth="9.28515625" defaultRowHeight="15" x14ac:dyDescent="0.25"/>
  <cols>
    <col min="2" max="2" width="9.28515625" bestFit="1" customWidth="1"/>
    <col min="3" max="3" width="9.42578125" bestFit="1" customWidth="1"/>
    <col min="4" max="4" width="9.28515625" bestFit="1" customWidth="1"/>
  </cols>
  <sheetData>
    <row r="1" spans="1:4" ht="25.5" customHeight="1" x14ac:dyDescent="0.25">
      <c r="A1" t="s">
        <v>0</v>
      </c>
      <c r="B1" t="s">
        <v>374</v>
      </c>
      <c r="C1" t="s">
        <v>375</v>
      </c>
      <c r="D1" t="s">
        <v>376</v>
      </c>
    </row>
    <row r="2" spans="1:4" x14ac:dyDescent="0.25">
      <c r="A2" s="67">
        <v>2000</v>
      </c>
    </row>
    <row r="3" spans="1:4" x14ac:dyDescent="0.25">
      <c r="A3" s="67">
        <v>2001</v>
      </c>
      <c r="B3" s="68">
        <v>893.66838444168764</v>
      </c>
      <c r="C3" s="69">
        <v>47853.334749276524</v>
      </c>
      <c r="D3" s="72">
        <v>136.46344830248984</v>
      </c>
    </row>
    <row r="4" spans="1:4" x14ac:dyDescent="0.25">
      <c r="A4" s="67">
        <v>2002</v>
      </c>
      <c r="B4" s="68">
        <v>908.79450536865943</v>
      </c>
      <c r="C4" s="69">
        <v>45783.697693288523</v>
      </c>
      <c r="D4" s="72">
        <v>128.31024517782544</v>
      </c>
    </row>
    <row r="5" spans="1:4" x14ac:dyDescent="0.25">
      <c r="A5" s="67">
        <v>2003</v>
      </c>
      <c r="B5" s="68">
        <v>918.02508352552934</v>
      </c>
      <c r="C5" s="69">
        <v>44418.149658721559</v>
      </c>
      <c r="D5" s="72">
        <v>122.15021314205525</v>
      </c>
    </row>
    <row r="6" spans="1:4" x14ac:dyDescent="0.25">
      <c r="A6" s="67">
        <v>2004</v>
      </c>
      <c r="B6" s="68">
        <v>937.77044397240309</v>
      </c>
      <c r="C6" s="69">
        <v>43515.544169074041</v>
      </c>
      <c r="D6" s="72">
        <v>116.6749378550749</v>
      </c>
    </row>
    <row r="7" spans="1:4" x14ac:dyDescent="0.25">
      <c r="A7" s="67">
        <v>2005</v>
      </c>
      <c r="B7" s="68">
        <v>927.0511832512982</v>
      </c>
      <c r="C7" s="69">
        <v>43650.157514896368</v>
      </c>
      <c r="D7" s="72">
        <v>117.23486437426777</v>
      </c>
    </row>
    <row r="8" spans="1:4" x14ac:dyDescent="0.25">
      <c r="A8" s="67">
        <v>2006</v>
      </c>
      <c r="B8" s="68">
        <v>941.38197829403612</v>
      </c>
      <c r="C8" s="69">
        <v>45431.398646504713</v>
      </c>
      <c r="D8" s="72">
        <v>120.29666367920332</v>
      </c>
    </row>
    <row r="9" spans="1:4" x14ac:dyDescent="0.25">
      <c r="A9" s="67">
        <v>2007</v>
      </c>
      <c r="B9" s="68">
        <v>943.08473965498808</v>
      </c>
      <c r="C9" s="69">
        <v>45127.673506074883</v>
      </c>
      <c r="D9" s="72">
        <v>116.97450345921554</v>
      </c>
    </row>
    <row r="10" spans="1:4" x14ac:dyDescent="0.25">
      <c r="A10" s="67">
        <v>2008</v>
      </c>
      <c r="B10" s="68">
        <v>939.11240038020583</v>
      </c>
      <c r="C10" s="69">
        <v>44441.395297430492</v>
      </c>
      <c r="D10" s="72">
        <v>118.59493574901666</v>
      </c>
    </row>
    <row r="11" spans="1:4" x14ac:dyDescent="0.25">
      <c r="A11" s="67">
        <v>2009</v>
      </c>
      <c r="B11" s="68">
        <v>991.35892471120485</v>
      </c>
      <c r="C11" s="69">
        <v>43305.001762648513</v>
      </c>
      <c r="D11" s="72">
        <v>119.34331510269827</v>
      </c>
    </row>
    <row r="12" spans="1:4" x14ac:dyDescent="0.25">
      <c r="A12" s="67">
        <v>2010</v>
      </c>
      <c r="B12" s="68">
        <v>981.95965245857315</v>
      </c>
      <c r="C12" s="69">
        <v>42178.696187265305</v>
      </c>
      <c r="D12" s="72">
        <v>108.08199586698221</v>
      </c>
    </row>
    <row r="13" spans="1:4" x14ac:dyDescent="0.25">
      <c r="A13" s="67">
        <v>2011</v>
      </c>
      <c r="B13" s="68">
        <v>956.41081627421227</v>
      </c>
      <c r="C13" s="69">
        <v>41800.820329223199</v>
      </c>
      <c r="D13" s="72">
        <v>111.29774212975555</v>
      </c>
    </row>
    <row r="14" spans="1:4" x14ac:dyDescent="0.25">
      <c r="A14" s="67">
        <v>2012</v>
      </c>
      <c r="B14" s="68">
        <v>968.29225505655256</v>
      </c>
      <c r="C14" s="69">
        <v>42014.889508637905</v>
      </c>
      <c r="D14" s="72">
        <v>109.57753928280259</v>
      </c>
    </row>
    <row r="15" spans="1:4" x14ac:dyDescent="0.25">
      <c r="A15" s="67">
        <v>2013</v>
      </c>
      <c r="B15" s="68">
        <v>987.78299569981948</v>
      </c>
      <c r="C15" s="69">
        <v>44644.993315353247</v>
      </c>
      <c r="D15" s="72">
        <v>111.77197593985457</v>
      </c>
    </row>
    <row r="16" spans="1:4" x14ac:dyDescent="0.25">
      <c r="A16" s="67">
        <v>2014</v>
      </c>
      <c r="B16" s="68">
        <v>1017.8356773091931</v>
      </c>
      <c r="C16" s="69">
        <v>45209.644101604179</v>
      </c>
      <c r="D16" s="72">
        <v>111.38745966067796</v>
      </c>
    </row>
    <row r="17" spans="1:4" x14ac:dyDescent="0.25">
      <c r="A17" s="67">
        <v>2015</v>
      </c>
      <c r="B17" s="68">
        <v>1055.0907894110574</v>
      </c>
      <c r="C17" s="69">
        <v>48053.48845228109</v>
      </c>
      <c r="D17" s="72">
        <v>113.54610816700863</v>
      </c>
    </row>
    <row r="18" spans="1:4" x14ac:dyDescent="0.25">
      <c r="A18" s="67">
        <v>2016</v>
      </c>
      <c r="B18" s="68">
        <v>1086.2918583731905</v>
      </c>
      <c r="C18" s="69">
        <v>50370.649564191226</v>
      </c>
      <c r="D18" s="72">
        <v>116.80822454174402</v>
      </c>
    </row>
    <row r="19" spans="1:4" x14ac:dyDescent="0.25">
      <c r="A19" s="67">
        <v>2017</v>
      </c>
      <c r="B19" s="68">
        <v>1110.6757862707016</v>
      </c>
      <c r="C19" s="69">
        <v>49840.043569230271</v>
      </c>
      <c r="D19" s="72">
        <v>112.95373017492778</v>
      </c>
    </row>
    <row r="20" spans="1:4" x14ac:dyDescent="0.25">
      <c r="A20" s="67">
        <v>2018</v>
      </c>
      <c r="B20" s="68">
        <v>1151.4314467002825</v>
      </c>
      <c r="C20" s="69">
        <v>51742.554548267821</v>
      </c>
      <c r="D20" s="72">
        <v>107.26836243990384</v>
      </c>
    </row>
    <row r="21" spans="1:4" x14ac:dyDescent="0.25">
      <c r="A21" s="67">
        <v>2019</v>
      </c>
      <c r="B21" s="68">
        <v>1176.6245940358597</v>
      </c>
      <c r="C21" s="69">
        <v>54211.019045323053</v>
      </c>
      <c r="D21" s="72">
        <v>112.46772228112741</v>
      </c>
    </row>
    <row r="22" spans="1:4" x14ac:dyDescent="0.25">
      <c r="A22" s="67">
        <v>2020</v>
      </c>
      <c r="B22" s="68">
        <v>1209.5907341054526</v>
      </c>
      <c r="C22" s="69">
        <v>52714.240182974616</v>
      </c>
      <c r="D22" s="72">
        <v>111.53820566122147</v>
      </c>
    </row>
    <row r="23" spans="1:4" x14ac:dyDescent="0.25">
      <c r="A23" s="67">
        <v>2021</v>
      </c>
      <c r="B23" s="68">
        <v>1203.3543227942848</v>
      </c>
      <c r="C23" s="69">
        <v>50803.673932608544</v>
      </c>
      <c r="D23" s="72">
        <v>101.33274213068384</v>
      </c>
    </row>
    <row r="24" spans="1:4" x14ac:dyDescent="0.25">
      <c r="A24" s="67">
        <v>2022</v>
      </c>
      <c r="B24">
        <v>1236.9999599999999</v>
      </c>
      <c r="C24" s="136">
        <v>51729.999999999993</v>
      </c>
      <c r="D24" s="137">
        <v>102.77339053802304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D620-7718-4A07-A1C9-91339EC0E1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AFE2ED52F1C499C70D4ABDBF7D43B" ma:contentTypeVersion="15" ma:contentTypeDescription="Create a new document." ma:contentTypeScope="" ma:versionID="0b9e01042d44b925ccfb62cbe7297fae">
  <xsd:schema xmlns:xsd="http://www.w3.org/2001/XMLSchema" xmlns:xs="http://www.w3.org/2001/XMLSchema" xmlns:p="http://schemas.microsoft.com/office/2006/metadata/properties" xmlns:ns1="http://schemas.microsoft.com/sharepoint/v3" xmlns:ns3="01c0465b-a08b-4852-9ee1-89e81009587a" xmlns:ns4="e9707d5b-7c16-454a-90fa-b79086c60968" targetNamespace="http://schemas.microsoft.com/office/2006/metadata/properties" ma:root="true" ma:fieldsID="b8d1c417e0a7076f514b43ebd3374b63" ns1:_="" ns3:_="" ns4:_="">
    <xsd:import namespace="http://schemas.microsoft.com/sharepoint/v3"/>
    <xsd:import namespace="01c0465b-a08b-4852-9ee1-89e81009587a"/>
    <xsd:import namespace="e9707d5b-7c16-454a-90fa-b79086c609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0465b-a08b-4852-9ee1-89e810095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07d5b-7c16-454a-90fa-b79086c609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5552C1-7C18-4641-9690-46406808E3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6E453E-D798-436E-B551-E1963B333B7B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01c0465b-a08b-4852-9ee1-89e81009587a"/>
    <ds:schemaRef ds:uri="http://schemas.microsoft.com/office/infopath/2007/PartnerControls"/>
    <ds:schemaRef ds:uri="e9707d5b-7c16-454a-90fa-b79086c6096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740D92-6B19-4186-A7E7-22BD68079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c0465b-a08b-4852-9ee1-89e81009587a"/>
    <ds:schemaRef ds:uri="e9707d5b-7c16-454a-90fa-b79086c609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Descriptions</vt:lpstr>
      <vt:lpstr>Sales_Monthly</vt:lpstr>
      <vt:lpstr>Sales_Annual</vt:lpstr>
      <vt:lpstr>NewPrices_Quarterly</vt:lpstr>
      <vt:lpstr>Prices_Annual</vt:lpstr>
      <vt:lpstr>ExistingPrices_Monthly</vt:lpstr>
      <vt:lpstr>HPI_Quarterly</vt:lpstr>
      <vt:lpstr>HPI_Annual</vt:lpstr>
      <vt:lpstr>HAI_Monthly</vt:lpstr>
      <vt:lpstr>HAI_Annual</vt:lpstr>
      <vt:lpstr>MrktAbs_Quarterly</vt:lpstr>
      <vt:lpstr>MrktAbs_Annual</vt:lpstr>
      <vt:lpstr>Manufactured_Monthly</vt:lpstr>
      <vt:lpstr>Manufactured_Annual</vt:lpstr>
      <vt:lpstr>BldView_Monthly</vt:lpstr>
      <vt:lpstr>BldView_Annual</vt:lpstr>
      <vt:lpstr>SFRENTAL_Annual</vt:lpstr>
      <vt:lpstr>RentalAffordability_Quarterly</vt:lpstr>
      <vt:lpstr>RentalAffordability_Annual</vt:lpstr>
      <vt:lpstr>Sheet1</vt:lpstr>
    </vt:vector>
  </TitlesOfParts>
  <Company>Housing and Urban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Bucholtz</dc:creator>
  <cp:lastModifiedBy>Risley, Samuel D</cp:lastModifiedBy>
  <cp:lastPrinted>2014-08-19T14:12:26Z</cp:lastPrinted>
  <dcterms:created xsi:type="dcterms:W3CDTF">2012-12-27T16:31:21Z</dcterms:created>
  <dcterms:modified xsi:type="dcterms:W3CDTF">2026-07-17T17:14:14Z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0x01010066CAFE2ED52F1C499C70D4ABDBF7D43B</vt:lpwstr>
  </property>
</Properties>
</file>